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D:\DA\Projects\Data Analysis and Visualization Projects\IPL Data Analytics using Pandas AI\"/>
    </mc:Choice>
  </mc:AlternateContent>
  <xr:revisionPtr revIDLastSave="0" documentId="13_ncr:1_{BF44DED8-05E4-47BC-A879-6B820BAD7A41}" xr6:coauthVersionLast="47" xr6:coauthVersionMax="47" xr10:uidLastSave="{00000000-0000-0000-0000-000000000000}"/>
  <bookViews>
    <workbookView xWindow="-108" yWindow="-108" windowWidth="23256" windowHeight="12456" activeTab="2" xr2:uid="{0A84600A-9F37-4B7F-B47C-1FB3DF52A12C}"/>
  </bookViews>
  <sheets>
    <sheet name="RawData" sheetId="1" r:id="rId1"/>
    <sheet name="Pivot_Table" sheetId="2" r:id="rId2"/>
    <sheet name="Dashbaord" sheetId="3" r:id="rId3"/>
  </sheets>
  <definedNames>
    <definedName name="Slicer_Team">#N/A</definedName>
    <definedName name="Slicer_TYPE">#N/A</definedName>
  </definedNames>
  <calcPr calcId="18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T7" i="3" l="1"/>
  <c r="N7" i="3"/>
  <c r="H7" i="3"/>
  <c r="B7" i="3"/>
</calcChain>
</file>

<file path=xl/sharedStrings.xml><?xml version="1.0" encoding="utf-8"?>
<sst xmlns="http://schemas.openxmlformats.org/spreadsheetml/2006/main" count="2556" uniqueCount="610">
  <si>
    <t>Player</t>
  </si>
  <si>
    <t>Base_Price</t>
  </si>
  <si>
    <t>TYPE</t>
  </si>
  <si>
    <t>Cost_INR_Cr</t>
  </si>
  <si>
    <t>Cost_INR_Cr2</t>
  </si>
  <si>
    <t>Prev_Team</t>
  </si>
  <si>
    <t>Team</t>
  </si>
  <si>
    <t>Status</t>
  </si>
  <si>
    <t>Base_Price_Cr</t>
  </si>
  <si>
    <t>Shivam Mavi</t>
  </si>
  <si>
    <t>BOWLER</t>
  </si>
  <si>
    <t>KKR</t>
  </si>
  <si>
    <t>Gujarat Titans</t>
  </si>
  <si>
    <t>Sold</t>
  </si>
  <si>
    <t>Joshua Little</t>
  </si>
  <si>
    <t>Kane Williamson</t>
  </si>
  <si>
    <t>BATSMAN</t>
  </si>
  <si>
    <t>SRH</t>
  </si>
  <si>
    <t>K.S. Bharat</t>
  </si>
  <si>
    <t>WICKETKEEPER</t>
  </si>
  <si>
    <t>DC</t>
  </si>
  <si>
    <t>Mohit Sharma</t>
  </si>
  <si>
    <t>Odean Smith</t>
  </si>
  <si>
    <t>ALL-ROUNDER</t>
  </si>
  <si>
    <t>PBKS</t>
  </si>
  <si>
    <t>Urvil Patel</t>
  </si>
  <si>
    <t>Rahul Tewatia</t>
  </si>
  <si>
    <t>GT</t>
  </si>
  <si>
    <t>Pradeep Sangwan</t>
  </si>
  <si>
    <t>Rashid Khan</t>
  </si>
  <si>
    <t>R. Sai Kishore</t>
  </si>
  <si>
    <t>Yash Dayal</t>
  </si>
  <si>
    <t>Noor Ahmad</t>
  </si>
  <si>
    <t>Wriddhiman Saha</t>
  </si>
  <si>
    <t>Vijay Shankar</t>
  </si>
  <si>
    <t>Shubman Gill</t>
  </si>
  <si>
    <t>Hardik Pandya</t>
  </si>
  <si>
    <t>B. Sai Sudharsan</t>
  </si>
  <si>
    <t>Alzarri Joseph</t>
  </si>
  <si>
    <t>Abhinav Sadarangani</t>
  </si>
  <si>
    <t>Darshan Nalkande</t>
  </si>
  <si>
    <t>David Miller</t>
  </si>
  <si>
    <t>Matthew Wade</t>
  </si>
  <si>
    <t>Jayant Yadav</t>
  </si>
  <si>
    <t>Mohammad Shami</t>
  </si>
  <si>
    <t>Ben Stokes</t>
  </si>
  <si>
    <t>Chennai Super Kings</t>
  </si>
  <si>
    <t>Kyle Jamieson</t>
  </si>
  <si>
    <t>Nishant Sindhu</t>
  </si>
  <si>
    <t>Ajinkya Rahane</t>
  </si>
  <si>
    <t>Bhagath Varma</t>
  </si>
  <si>
    <t>CSK</t>
  </si>
  <si>
    <t>Ajay Mandal</t>
  </si>
  <si>
    <t>Shaik Rasheed</t>
  </si>
  <si>
    <t>Ravindra Jadeja</t>
  </si>
  <si>
    <t>Rajvardhan Hangargekar</t>
  </si>
  <si>
    <t>Prashant Solanki</t>
  </si>
  <si>
    <t>Ruturaj Gaikwad</t>
  </si>
  <si>
    <t>Tushar Deshpande</t>
  </si>
  <si>
    <t>Mukesh Choudhary</t>
  </si>
  <si>
    <t>Subhranshu Senapati</t>
  </si>
  <si>
    <t>Simarjeet Singh</t>
  </si>
  <si>
    <t>Shivam Dube</t>
  </si>
  <si>
    <t>Matheesha Pathirana</t>
  </si>
  <si>
    <t>Devon Conway</t>
  </si>
  <si>
    <t>Deepak Chahar</t>
  </si>
  <si>
    <t>Ambati Rayudu</t>
  </si>
  <si>
    <t>Dwaine Pretorius</t>
  </si>
  <si>
    <t>Maheesh Theekshana</t>
  </si>
  <si>
    <t>Moeen Ali</t>
  </si>
  <si>
    <t>Mitchell Santner</t>
  </si>
  <si>
    <t>MS Dhoni</t>
  </si>
  <si>
    <t>Mukesh Kumar</t>
  </si>
  <si>
    <t>Delhi Capitals</t>
  </si>
  <si>
    <t>Rilee Rossouw</t>
  </si>
  <si>
    <t>Manish Pandey</t>
  </si>
  <si>
    <t>LSG</t>
  </si>
  <si>
    <t>Phil Salt</t>
  </si>
  <si>
    <t>Ishant Sharma</t>
  </si>
  <si>
    <t>Ripal Patel</t>
  </si>
  <si>
    <t>Pravin Dubey</t>
  </si>
  <si>
    <t>Rishabh Pant</t>
  </si>
  <si>
    <t>Prithvi Shaw</t>
  </si>
  <si>
    <t>Syed Khaleel Ahmed</t>
  </si>
  <si>
    <t>Yash Dhull</t>
  </si>
  <si>
    <t>Vicky Ostwal</t>
  </si>
  <si>
    <t>Mustafizur Rahman</t>
  </si>
  <si>
    <t>Sarfaraz Khan</t>
  </si>
  <si>
    <t>Rovman Powell</t>
  </si>
  <si>
    <t>Lalit Yadav</t>
  </si>
  <si>
    <t>Axar Patel</t>
  </si>
  <si>
    <t>Anrich Nortje</t>
  </si>
  <si>
    <t>Aman Khan (T)</t>
  </si>
  <si>
    <t>Chetan Sakariya</t>
  </si>
  <si>
    <t>David Warner</t>
  </si>
  <si>
    <t>Lungisani Ngidi</t>
  </si>
  <si>
    <t>Kuldeep Yadav</t>
  </si>
  <si>
    <t>Kamlesh Nagarkoti</t>
  </si>
  <si>
    <t>Mitchell Marsh</t>
  </si>
  <si>
    <t>Shakib Al Hasan</t>
  </si>
  <si>
    <t>Kolkata Knight Riders</t>
  </si>
  <si>
    <t>David Wiese</t>
  </si>
  <si>
    <t>N. Jagadeesan</t>
  </si>
  <si>
    <t>Vaibhav Arora</t>
  </si>
  <si>
    <t>Litton Das</t>
  </si>
  <si>
    <t>Mandeep Singh</t>
  </si>
  <si>
    <t>Kulwant Khejroliya</t>
  </si>
  <si>
    <t>Suyash Sharma</t>
  </si>
  <si>
    <t>Sunil Narine</t>
  </si>
  <si>
    <t>Shreyas Iyer</t>
  </si>
  <si>
    <t>Tim Southee</t>
  </si>
  <si>
    <t>Umesh Yadav</t>
  </si>
  <si>
    <t>Varun Chakaravarthy</t>
  </si>
  <si>
    <t>Shardul Thakur (T)</t>
  </si>
  <si>
    <t>Venkatesh Iyer</t>
  </si>
  <si>
    <t>Harshit Rana</t>
  </si>
  <si>
    <t>Anukul Roy</t>
  </si>
  <si>
    <t>Andre Russell</t>
  </si>
  <si>
    <t>Lockie Ferguson (T)</t>
  </si>
  <si>
    <t>Nitish Rana</t>
  </si>
  <si>
    <t>Rahmanullah Gurbaz (T)</t>
  </si>
  <si>
    <t>Rinku Singh</t>
  </si>
  <si>
    <t>Sam Curran</t>
  </si>
  <si>
    <t>Punjab Super Kings</t>
  </si>
  <si>
    <t>Sikandar Raza</t>
  </si>
  <si>
    <t>Harpreet Bhatia</t>
  </si>
  <si>
    <t>Mohit Rathee</t>
  </si>
  <si>
    <t>Vidwath Kaverappa</t>
  </si>
  <si>
    <t>Shivam Singh</t>
  </si>
  <si>
    <t>Liam Livingstone</t>
  </si>
  <si>
    <t>Baltej Singh Dhanda</t>
  </si>
  <si>
    <t>Atharva Taide</t>
  </si>
  <si>
    <t>Bhanuka Rajapakse</t>
  </si>
  <si>
    <t>Jitesh Sharma</t>
  </si>
  <si>
    <t>Nathan Ellis</t>
  </si>
  <si>
    <t>Jonny Bairstow</t>
  </si>
  <si>
    <t>Kagiso Rabada</t>
  </si>
  <si>
    <t>Harpreet Brar</t>
  </si>
  <si>
    <t>Shahrukh Khan</t>
  </si>
  <si>
    <t>Shikhar Dhawan</t>
  </si>
  <si>
    <t>Rahul Chahar</t>
  </si>
  <si>
    <t>Arshdeep Singh</t>
  </si>
  <si>
    <t>Prabhsimran Singh</t>
  </si>
  <si>
    <t>Raj Angad Bawa</t>
  </si>
  <si>
    <t>Rishi Dhawan</t>
  </si>
  <si>
    <t>Nicholas Pooran</t>
  </si>
  <si>
    <t>Lucknow Super Giants</t>
  </si>
  <si>
    <t>Daniel Sams</t>
  </si>
  <si>
    <t>MI</t>
  </si>
  <si>
    <t>Jaydev Unadkat</t>
  </si>
  <si>
    <t>Naveen Ul Haq</t>
  </si>
  <si>
    <t>Amit Mishra</t>
  </si>
  <si>
    <t>Romario Shepherd</t>
  </si>
  <si>
    <t>Yash Thakur</t>
  </si>
  <si>
    <t>Swapnil Singh</t>
  </si>
  <si>
    <t>Yudhvir Charak</t>
  </si>
  <si>
    <t>Prerak Mankad</t>
  </si>
  <si>
    <t>Mark Wood</t>
  </si>
  <si>
    <t>Marcus Stoinis</t>
  </si>
  <si>
    <t>Mayank Yadav</t>
  </si>
  <si>
    <t>Mohsin Khan</t>
  </si>
  <si>
    <t>Quinton De Kock</t>
  </si>
  <si>
    <t>Manan Vohra</t>
  </si>
  <si>
    <t>Ravi Bishnoi</t>
  </si>
  <si>
    <t>Deepak Hooda</t>
  </si>
  <si>
    <t>Ayush Badoni</t>
  </si>
  <si>
    <t>Avesh Khan</t>
  </si>
  <si>
    <t>K. Gowtham</t>
  </si>
  <si>
    <t>Karan Sharma</t>
  </si>
  <si>
    <t>Krunal Pandya</t>
  </si>
  <si>
    <t>KL Rahul</t>
  </si>
  <si>
    <t>Kyle Mayers</t>
  </si>
  <si>
    <t>Cameron Green</t>
  </si>
  <si>
    <t>Mumbai Indians</t>
  </si>
  <si>
    <t>Jhye Richardson</t>
  </si>
  <si>
    <t>Piyush Chawla</t>
  </si>
  <si>
    <t>Raghav Goyal</t>
  </si>
  <si>
    <t>Shams Mulani</t>
  </si>
  <si>
    <t>Nehal Wadhera</t>
  </si>
  <si>
    <t>Vishnu Vinod</t>
  </si>
  <si>
    <t>Duan Jansen</t>
  </si>
  <si>
    <t>Ramandeep Singh</t>
  </si>
  <si>
    <t>N. Tilak Varma</t>
  </si>
  <si>
    <t>Mohd. Arshad Khan</t>
  </si>
  <si>
    <t>Rohit Sharma</t>
  </si>
  <si>
    <t>Suryakumar Yadav</t>
  </si>
  <si>
    <t>Kumar Kartikeya Singh</t>
  </si>
  <si>
    <t>Tristan Stubbs*</t>
  </si>
  <si>
    <t>Tim David</t>
  </si>
  <si>
    <t>Hrithik Shokeen</t>
  </si>
  <si>
    <t>Arjun Tendulkar</t>
  </si>
  <si>
    <t>Akash Madhwal</t>
  </si>
  <si>
    <t>Dewald Brevis</t>
  </si>
  <si>
    <t>Ishan Kishan</t>
  </si>
  <si>
    <t>Jasprit Bumrah</t>
  </si>
  <si>
    <t>Jason Behrendorff (T)</t>
  </si>
  <si>
    <t>Jofra Archer</t>
  </si>
  <si>
    <t>Will Jacks</t>
  </si>
  <si>
    <t>Royal Challengers Banglore</t>
  </si>
  <si>
    <t>Reece Topley</t>
  </si>
  <si>
    <t>Rajan Kumar</t>
  </si>
  <si>
    <t>Avinash Singh</t>
  </si>
  <si>
    <t>Manoj Bhandage</t>
  </si>
  <si>
    <t>Sonu Yadav</t>
  </si>
  <si>
    <t>Himanshu Sharma</t>
  </si>
  <si>
    <t>Rajat Patidar</t>
  </si>
  <si>
    <t>RCB</t>
  </si>
  <si>
    <t>Mahipal Lomror</t>
  </si>
  <si>
    <t>Shahbaz Ahamad</t>
  </si>
  <si>
    <t>Mohammed Siraj</t>
  </si>
  <si>
    <t>Wanindu Hasaranga</t>
  </si>
  <si>
    <t>Karn Sharma</t>
  </si>
  <si>
    <t>Virat Kohli</t>
  </si>
  <si>
    <t>Suyash Prabhudessai</t>
  </si>
  <si>
    <t>Siddharth Kaul</t>
  </si>
  <si>
    <t>Finn Allen</t>
  </si>
  <si>
    <t>David Willey</t>
  </si>
  <si>
    <t>Anuj Rawat</t>
  </si>
  <si>
    <t>Akash Deep</t>
  </si>
  <si>
    <t>Dinesh Karthik</t>
  </si>
  <si>
    <t>Faf Du Plessis</t>
  </si>
  <si>
    <t>Harshal Patel</t>
  </si>
  <si>
    <t>Glenn Maxwell</t>
  </si>
  <si>
    <t>Josh Hazlewood</t>
  </si>
  <si>
    <t>Jason Holder</t>
  </si>
  <si>
    <t>Rajasthan Royals</t>
  </si>
  <si>
    <t>Adam Zampa</t>
  </si>
  <si>
    <t>Joe Root</t>
  </si>
  <si>
    <t>Donovan Ferreira</t>
  </si>
  <si>
    <t>K.M. Asif</t>
  </si>
  <si>
    <t>Kunal Rathore</t>
  </si>
  <si>
    <t>Abdul P A</t>
  </si>
  <si>
    <t>Akash Vashisht</t>
  </si>
  <si>
    <t>Murugan Ashwin</t>
  </si>
  <si>
    <t>Sanju Samson</t>
  </si>
  <si>
    <t>RR</t>
  </si>
  <si>
    <t>Riyan Parag</t>
  </si>
  <si>
    <t>R. Ashwin</t>
  </si>
  <si>
    <t>Shimron Hetmyer</t>
  </si>
  <si>
    <t>Trent Boult</t>
  </si>
  <si>
    <t>Prasidh Krishna</t>
  </si>
  <si>
    <t>Yuzvendra Chahal</t>
  </si>
  <si>
    <t>Yashasvi Jaiswal</t>
  </si>
  <si>
    <t>K.C Cariappa</t>
  </si>
  <si>
    <t>Dhruv Jurel</t>
  </si>
  <si>
    <t>Devdutt Padikkal</t>
  </si>
  <si>
    <t>Jos Buttler</t>
  </si>
  <si>
    <t>Kuldeep Sen</t>
  </si>
  <si>
    <t>Navdeep Saini</t>
  </si>
  <si>
    <t>Kuldip Yadav</t>
  </si>
  <si>
    <t>Obed Mccoy</t>
  </si>
  <si>
    <t>Harry Brook</t>
  </si>
  <si>
    <t>Sunrisers Hyderabad</t>
  </si>
  <si>
    <t>Mayank Agarwal</t>
  </si>
  <si>
    <t>Heinrich Klaasen</t>
  </si>
  <si>
    <t>Vivrant Sharma</t>
  </si>
  <si>
    <t>Adil Rashid</t>
  </si>
  <si>
    <t>Mayank Dagar</t>
  </si>
  <si>
    <t>Akeal Hosein</t>
  </si>
  <si>
    <t>Mayank Markande</t>
  </si>
  <si>
    <t>Upendra Singh Yadav</t>
  </si>
  <si>
    <t>Nitish Kumar Reddy</t>
  </si>
  <si>
    <t>Samarth Vyas</t>
  </si>
  <si>
    <t>Anmolpreet Singh</t>
  </si>
  <si>
    <t>Sanvir Singh</t>
  </si>
  <si>
    <t>Marco Jansen</t>
  </si>
  <si>
    <t>Rahul Tripathi</t>
  </si>
  <si>
    <t>Umran Malik</t>
  </si>
  <si>
    <t>Washington Sundar</t>
  </si>
  <si>
    <t>Kartik Tyagi</t>
  </si>
  <si>
    <t>T. Natarajan</t>
  </si>
  <si>
    <t>Fazalhaq Farooqi</t>
  </si>
  <si>
    <t>Abdul Samad</t>
  </si>
  <si>
    <t>Abhishek Sharma</t>
  </si>
  <si>
    <t>Aiden Markram</t>
  </si>
  <si>
    <t>Bhuvneshwar Kumar</t>
  </si>
  <si>
    <t>Glenn Phillips</t>
  </si>
  <si>
    <t>Tom Banton</t>
  </si>
  <si>
    <t>Unsold</t>
  </si>
  <si>
    <t>Kusal Mendis</t>
  </si>
  <si>
    <t>Chris Jordan</t>
  </si>
  <si>
    <t>Adam Milne</t>
  </si>
  <si>
    <t>Mujeeb Rahman</t>
  </si>
  <si>
    <t>Tabraiz Shamsi</t>
  </si>
  <si>
    <t>Shubham Khajuria</t>
  </si>
  <si>
    <t>Rohan Kunnummal</t>
  </si>
  <si>
    <t>Chethan L.R.</t>
  </si>
  <si>
    <t>Himmat Singh</t>
  </si>
  <si>
    <t>Corbin Bosch</t>
  </si>
  <si>
    <t>Priyam Garg</t>
  </si>
  <si>
    <t>Saurabh Kumar</t>
  </si>
  <si>
    <t>Shashank Singh</t>
  </si>
  <si>
    <t>Mohammed Azharuddeen</t>
  </si>
  <si>
    <t>Dinesh Bana</t>
  </si>
  <si>
    <t>Abhimanyu Easwaran</t>
  </si>
  <si>
    <t>Sumit Kumar</t>
  </si>
  <si>
    <t>Lance Morris</t>
  </si>
  <si>
    <t>Mujtaba Yousuf</t>
  </si>
  <si>
    <t>Chintal Gandhi</t>
  </si>
  <si>
    <t>Shreyas Gopal</t>
  </si>
  <si>
    <t>S Midhun</t>
  </si>
  <si>
    <t>Izharulhuq Naveed</t>
  </si>
  <si>
    <t>Travis Head</t>
  </si>
  <si>
    <t>Dawid Malan</t>
  </si>
  <si>
    <t>Sherfane Rutherford</t>
  </si>
  <si>
    <t>Paul Stirling</t>
  </si>
  <si>
    <t>Rassie Van Der Dussen</t>
  </si>
  <si>
    <t>Daryl Mitchell</t>
  </si>
  <si>
    <t>Mohammad Nabi</t>
  </si>
  <si>
    <t>Jimmy Neesham</t>
  </si>
  <si>
    <t>Wayne Parnell</t>
  </si>
  <si>
    <t>Dasun Shanaka</t>
  </si>
  <si>
    <t>Taskin Ahmed</t>
  </si>
  <si>
    <t>Dushmanta Chameera</t>
  </si>
  <si>
    <t>Riley Meredith</t>
  </si>
  <si>
    <t>Blessing Muzarabani</t>
  </si>
  <si>
    <t>Sandeep Sharma</t>
  </si>
  <si>
    <t>Johnson Charles</t>
  </si>
  <si>
    <t>Andre Fletcher</t>
  </si>
  <si>
    <t>Shai Hope</t>
  </si>
  <si>
    <t>Tom Latham</t>
  </si>
  <si>
    <t>Joshua Philippe</t>
  </si>
  <si>
    <t>Lorcan Tucker</t>
  </si>
  <si>
    <t>Shahbaz Nadeem</t>
  </si>
  <si>
    <t>Ish Sodhi</t>
  </si>
  <si>
    <t>Sachin Baby</t>
  </si>
  <si>
    <t>Ashwin Hebbar</t>
  </si>
  <si>
    <t>Pukhraj Mann</t>
  </si>
  <si>
    <t>Akshat Raghuwanshi</t>
  </si>
  <si>
    <t>Himanshu Rana</t>
  </si>
  <si>
    <t>Shoun Roger</t>
  </si>
  <si>
    <t>Virat Singh</t>
  </si>
  <si>
    <t>Will Smeed</t>
  </si>
  <si>
    <t>Apoorv Wankhade</t>
  </si>
  <si>
    <t>Gerald Coetzee</t>
  </si>
  <si>
    <t>Evan Jones</t>
  </si>
  <si>
    <t>Abid Mushtaq</t>
  </si>
  <si>
    <t>Suryansh Shedge</t>
  </si>
  <si>
    <t>Jagadeesha Suchith</t>
  </si>
  <si>
    <t>Ricky Bhui</t>
  </si>
  <si>
    <t>Baba Indrajith</t>
  </si>
  <si>
    <t>Sheldon Jackson</t>
  </si>
  <si>
    <t>Aryan Juyal</t>
  </si>
  <si>
    <t>Kirant Shinde</t>
  </si>
  <si>
    <t>Luvnith Sisodia</t>
  </si>
  <si>
    <t>Vishnu Solanki</t>
  </si>
  <si>
    <t>Aniket Choudhary</t>
  </si>
  <si>
    <t>Ravi Kumar</t>
  </si>
  <si>
    <t>Sushant Mishra</t>
  </si>
  <si>
    <t>Arzan Nagwaswalla</t>
  </si>
  <si>
    <t>Ishan Porel</t>
  </si>
  <si>
    <t>Akash Singh</t>
  </si>
  <si>
    <t>Basil Thampi</t>
  </si>
  <si>
    <t>Paul Van Meekeren</t>
  </si>
  <si>
    <t>Vyshak Vijay Kumar</t>
  </si>
  <si>
    <t>S.Ajith Ram</t>
  </si>
  <si>
    <t>Satyajeet Bachhav</t>
  </si>
  <si>
    <t>Tejas Baroka</t>
  </si>
  <si>
    <t>Yuvraj Chudasama</t>
  </si>
  <si>
    <t>Peter Hatzoglou</t>
  </si>
  <si>
    <t>Karthik Meiyappan</t>
  </si>
  <si>
    <t>Shivam Sharma</t>
  </si>
  <si>
    <t>Reeza Hendricks</t>
  </si>
  <si>
    <t>Christiaan Jonker</t>
  </si>
  <si>
    <t>Brandon King</t>
  </si>
  <si>
    <t>Chris Lynn</t>
  </si>
  <si>
    <t>Karun Nair</t>
  </si>
  <si>
    <t>Pathum Nissaanka</t>
  </si>
  <si>
    <t>Jason Roy</t>
  </si>
  <si>
    <t>Gurkeerat Singh</t>
  </si>
  <si>
    <t>Harry Tector</t>
  </si>
  <si>
    <t>Najibullah Zadran</t>
  </si>
  <si>
    <t>Sean Abbott</t>
  </si>
  <si>
    <t>Qais Ahmad</t>
  </si>
  <si>
    <t>Charith Asalanka</t>
  </si>
  <si>
    <t>Michael Bracewell</t>
  </si>
  <si>
    <t>Dominic Drakes</t>
  </si>
  <si>
    <t>George Garton</t>
  </si>
  <si>
    <t>Chamika Karunaratne</t>
  </si>
  <si>
    <t>Jamie Overton</t>
  </si>
  <si>
    <t>Sandeep Warrier</t>
  </si>
  <si>
    <t>Ben Dwarshuis</t>
  </si>
  <si>
    <t>Richard Gleeson</t>
  </si>
  <si>
    <t>Lahiru Kumara</t>
  </si>
  <si>
    <t>Dilshan Madushanka</t>
  </si>
  <si>
    <t>Billy Stanlake</t>
  </si>
  <si>
    <t>Andrew Tye</t>
  </si>
  <si>
    <t>Luke Wood</t>
  </si>
  <si>
    <t>Priyansh Arya</t>
  </si>
  <si>
    <t>Matthew Breetzke</t>
  </si>
  <si>
    <t>Shivam Chauhan</t>
  </si>
  <si>
    <t>Rahul Gahlaut</t>
  </si>
  <si>
    <t>Sudip Gharami</t>
  </si>
  <si>
    <t>C. Hari Nishaanth</t>
  </si>
  <si>
    <t>Amandeep Khare</t>
  </si>
  <si>
    <t>Bhanu Pania</t>
  </si>
  <si>
    <t>Ekant Sen</t>
  </si>
  <si>
    <t>Himanshu Bisht</t>
  </si>
  <si>
    <t>Mickil Jaiswal</t>
  </si>
  <si>
    <t>G.Aniketh Reddy</t>
  </si>
  <si>
    <t>Atit Sheth</t>
  </si>
  <si>
    <t>M. Siddharth</t>
  </si>
  <si>
    <t>Tanay Thyagarajann</t>
  </si>
  <si>
    <t>Sumeet Verma</t>
  </si>
  <si>
    <t>Sanjay Yadav</t>
  </si>
  <si>
    <t>Ajitesh Guruswamy</t>
  </si>
  <si>
    <t>Yash Kothari</t>
  </si>
  <si>
    <t>Suresh Kumar</t>
  </si>
  <si>
    <t>Kumar Kushagra</t>
  </si>
  <si>
    <t>Anmol Malhotra</t>
  </si>
  <si>
    <t>Robin Minz</t>
  </si>
  <si>
    <t>Agniv Pan</t>
  </si>
  <si>
    <t>Priyesh Patel</t>
  </si>
  <si>
    <t>Mitesh Patel</t>
  </si>
  <si>
    <t>Abishek Porel</t>
  </si>
  <si>
    <t>Bharat Sharma</t>
  </si>
  <si>
    <t>Vivek Singh</t>
  </si>
  <si>
    <t>Abhijeet Tomar</t>
  </si>
  <si>
    <t>Basit Bashir</t>
  </si>
  <si>
    <t>Nandre Burger</t>
  </si>
  <si>
    <t>Rasikh Dar</t>
  </si>
  <si>
    <t>Sakib Hussain</t>
  </si>
  <si>
    <t>Waseem Khanday</t>
  </si>
  <si>
    <t>Ravi Kiran Majeti</t>
  </si>
  <si>
    <t>Lukman Hussain Meriwala</t>
  </si>
  <si>
    <t>Anuj Raj</t>
  </si>
  <si>
    <t>Ankit Singh Rajpoot</t>
  </si>
  <si>
    <t>Prince Yadav</t>
  </si>
  <si>
    <t>Prithviraj Yarra</t>
  </si>
  <si>
    <t>Mushtaq Beg</t>
  </si>
  <si>
    <t>Rocky Bhasker</t>
  </si>
  <si>
    <t>Sanjith Devaraj</t>
  </si>
  <si>
    <t>Allah Mohammad</t>
  </si>
  <si>
    <t>Lalit Mohan</t>
  </si>
  <si>
    <t>Bhuwan Rohilla</t>
  </si>
  <si>
    <t>Aman Sharma</t>
  </si>
  <si>
    <t>Manav Suthar</t>
  </si>
  <si>
    <t>Tom Curran</t>
  </si>
  <si>
    <t>Moises Henriques</t>
  </si>
  <si>
    <t>Afif Hossain</t>
  </si>
  <si>
    <t>Scott Kuggeleijn</t>
  </si>
  <si>
    <t>Sisanda Magala</t>
  </si>
  <si>
    <t>Craig Overton</t>
  </si>
  <si>
    <t>Darcy Short</t>
  </si>
  <si>
    <t>Dhananjaya Silva</t>
  </si>
  <si>
    <t>Dunith Wellalage</t>
  </si>
  <si>
    <t>Varun Aaron</t>
  </si>
  <si>
    <t>Sheldon Cottrel</t>
  </si>
  <si>
    <t>Nathan Coulter-Nile</t>
  </si>
  <si>
    <t>Daryn Dupavillon</t>
  </si>
  <si>
    <t>Matt Henry</t>
  </si>
  <si>
    <t>Dhawal Kulkarni</t>
  </si>
  <si>
    <t>Tymal Mills</t>
  </si>
  <si>
    <t>David Payne</t>
  </si>
  <si>
    <t>Barinder Sran</t>
  </si>
  <si>
    <t>Glenton Stuurman</t>
  </si>
  <si>
    <t>Anirudh Balachander</t>
  </si>
  <si>
    <t>Gourav Choudhary</t>
  </si>
  <si>
    <t>Saurav Chuahan</t>
  </si>
  <si>
    <t>Kumar Deobrat</t>
  </si>
  <si>
    <t>Chirag Gandhi</t>
  </si>
  <si>
    <t>Arman Jaffer</t>
  </si>
  <si>
    <t>Madhav Kaushik</t>
  </si>
  <si>
    <t>Priyank Panchal</t>
  </si>
  <si>
    <t>Ayush Pandey</t>
  </si>
  <si>
    <t>Rohan Patil</t>
  </si>
  <si>
    <t>Sanjay Ramaswamy</t>
  </si>
  <si>
    <t>Siddharth Yadav</t>
  </si>
  <si>
    <t>Rehan Ahmed</t>
  </si>
  <si>
    <t>Prayas Barman</t>
  </si>
  <si>
    <t>Rahul Buddhi</t>
  </si>
  <si>
    <t>Vaisakh Chandran</t>
  </si>
  <si>
    <t>Writtick Chatterjee</t>
  </si>
  <si>
    <t>Prashant Chopra</t>
  </si>
  <si>
    <t>Harsh Dubey</t>
  </si>
  <si>
    <t>Tanush Kotian</t>
  </si>
  <si>
    <t>Ninad Rathva</t>
  </si>
  <si>
    <t>B. Surya</t>
  </si>
  <si>
    <t>Jordan Thompson</t>
  </si>
  <si>
    <t>Shivank Vashisth</t>
  </si>
  <si>
    <t>Ankush Bains</t>
  </si>
  <si>
    <t>Christopher Benjamin</t>
  </si>
  <si>
    <t>Connor Esterhuizen</t>
  </si>
  <si>
    <t>Mohd Arslan Khan</t>
  </si>
  <si>
    <t>Mamidi Krishna</t>
  </si>
  <si>
    <t>Fazil Makaya</t>
  </si>
  <si>
    <t>Akshdeep Nath</t>
  </si>
  <si>
    <t>Deepak Punia</t>
  </si>
  <si>
    <t>Ateev Saini</t>
  </si>
  <si>
    <t>Bipin Saurabh</t>
  </si>
  <si>
    <t>B.R. Sharath</t>
  </si>
  <si>
    <t>Yashovardhan Singh</t>
  </si>
  <si>
    <t>Lakshay Thareja</t>
  </si>
  <si>
    <t>Mohit Avasthi</t>
  </si>
  <si>
    <t>Ottneil Baartman</t>
  </si>
  <si>
    <t>Gurnoor Singh Brar</t>
  </si>
  <si>
    <t>Shahrukh Dar</t>
  </si>
  <si>
    <t>Thomas Helm</t>
  </si>
  <si>
    <t>Pankaj Jaswal</t>
  </si>
  <si>
    <t>Venkatesh Muralidhara</t>
  </si>
  <si>
    <t>Geet Puri</t>
  </si>
  <si>
    <t>E. Sanketh</t>
  </si>
  <si>
    <t>Ajay Sarkar</t>
  </si>
  <si>
    <t>Ashok Sharma</t>
  </si>
  <si>
    <t>Kanwar Singh</t>
  </si>
  <si>
    <t>Fabian Allen</t>
  </si>
  <si>
    <t>Carlos Brathwaite</t>
  </si>
  <si>
    <t>Roston Chase</t>
  </si>
  <si>
    <t>Rahkeem Cornwall</t>
  </si>
  <si>
    <t>Karim Janat</t>
  </si>
  <si>
    <t>Keshav Maharaj</t>
  </si>
  <si>
    <t>Pawan Negi</t>
  </si>
  <si>
    <t>Keemo Paul</t>
  </si>
  <si>
    <t>Shivam Chaudhary</t>
  </si>
  <si>
    <t>Ashwin Das</t>
  </si>
  <si>
    <t>James Fuller</t>
  </si>
  <si>
    <t>Chirag Jani</t>
  </si>
  <si>
    <t>Akshay Karnewar</t>
  </si>
  <si>
    <t>Bhagmender Lather</t>
  </si>
  <si>
    <t>Lone Muzaffar</t>
  </si>
  <si>
    <t>Pulkit Narang</t>
  </si>
  <si>
    <t>Rohit Rayudu</t>
  </si>
  <si>
    <t>Sameer Rizvi</t>
  </si>
  <si>
    <t>Tunish Sawkar</t>
  </si>
  <si>
    <t>Auqib Dar</t>
  </si>
  <si>
    <t>Mukhtar Hussain</t>
  </si>
  <si>
    <t>Ashwani Kumar</t>
  </si>
  <si>
    <t>Hemant Kumar</t>
  </si>
  <si>
    <t>Nathan McAndrew</t>
  </si>
  <si>
    <t>Rajesh Mohanty</t>
  </si>
  <si>
    <t>Ravi Sharma</t>
  </si>
  <si>
    <t>Vikash Singh</t>
  </si>
  <si>
    <t>Ruben Trumpelmann</t>
  </si>
  <si>
    <t>Koushik Vasuki</t>
  </si>
  <si>
    <t>Vasu Vats</t>
  </si>
  <si>
    <t>Shubham Agrawal</t>
  </si>
  <si>
    <t>Baba Aparajith</t>
  </si>
  <si>
    <t>Anshul Kamboj</t>
  </si>
  <si>
    <t>Azim Kazi</t>
  </si>
  <si>
    <t>Dev Lakra</t>
  </si>
  <si>
    <t>Jitender Pal</t>
  </si>
  <si>
    <t>Ritwik Roy Chowdhury</t>
  </si>
  <si>
    <t>Utkarsh Singh</t>
  </si>
  <si>
    <t>Shubham Singh</t>
  </si>
  <si>
    <t>Avneesh Sudha</t>
  </si>
  <si>
    <t>Asad Jamil Ahmed</t>
  </si>
  <si>
    <t>Bandaru Ayyappa</t>
  </si>
  <si>
    <t>Aashish Bhatt</t>
  </si>
  <si>
    <t>McKenny Clarke</t>
  </si>
  <si>
    <t>Shubham Kapse</t>
  </si>
  <si>
    <t>Gourav Koul</t>
  </si>
  <si>
    <t>Raunak Kumar</t>
  </si>
  <si>
    <t>Trilok Nag</t>
  </si>
  <si>
    <t>Atal Bihari Rai</t>
  </si>
  <si>
    <t>Ramon Simmonds</t>
  </si>
  <si>
    <t>Rajeev Singh</t>
  </si>
  <si>
    <t>Mohd. Wasim</t>
  </si>
  <si>
    <t>Atharva Ankolekar</t>
  </si>
  <si>
    <t>Khizar Dafedar</t>
  </si>
  <si>
    <t>Naman Dhir</t>
  </si>
  <si>
    <t>Sahil Dhiwan</t>
  </si>
  <si>
    <t>Sampark Gupta</t>
  </si>
  <si>
    <t>Jordan Hermann</t>
  </si>
  <si>
    <t>Hayden Kerr</t>
  </si>
  <si>
    <t>Salman Khan</t>
  </si>
  <si>
    <t>Sairaj Patil</t>
  </si>
  <si>
    <t>Divyaansh Saxena</t>
  </si>
  <si>
    <t>Purnank Tyagi</t>
  </si>
  <si>
    <t>Deepraj Gaonkar</t>
  </si>
  <si>
    <t>Shubham Garhwal</t>
  </si>
  <si>
    <t>Benny Howell</t>
  </si>
  <si>
    <t>Deepesh Nailwal</t>
  </si>
  <si>
    <t>Arjun Rapria</t>
  </si>
  <si>
    <t>Shashwat Rawat</t>
  </si>
  <si>
    <t>Sumit Ruikar</t>
  </si>
  <si>
    <t>Rajandeep Singh</t>
  </si>
  <si>
    <t>Anunay Singh</t>
  </si>
  <si>
    <t>Digvesh Singh</t>
  </si>
  <si>
    <t>Pranshu Vijayran</t>
  </si>
  <si>
    <t>Prerit Dutta</t>
  </si>
  <si>
    <t>Ramakrishna Ghosh</t>
  </si>
  <si>
    <t>Shubhang Hegde</t>
  </si>
  <si>
    <t>Shamshuzama Kazi</t>
  </si>
  <si>
    <t>Ayaz Khan</t>
  </si>
  <si>
    <t>Amit Pachhara</t>
  </si>
  <si>
    <t>Akul Pandove</t>
  </si>
  <si>
    <t>Garv Sangwan</t>
  </si>
  <si>
    <t>Shubham Sharma</t>
  </si>
  <si>
    <t>Amit Yadav</t>
  </si>
  <si>
    <t>Amit Ali</t>
  </si>
  <si>
    <t>Rishabh Chauhan</t>
  </si>
  <si>
    <t>Matthew Forde</t>
  </si>
  <si>
    <t>Sammar Gajjar</t>
  </si>
  <si>
    <t>Rajneesh Gurbani</t>
  </si>
  <si>
    <t>Divyansh Joshi</t>
  </si>
  <si>
    <t>Dhruv Patel</t>
  </si>
  <si>
    <t>Jack Prestwidge</t>
  </si>
  <si>
    <t>Aditya Sarvate</t>
  </si>
  <si>
    <t>Sagar Solanki</t>
  </si>
  <si>
    <t>Prenelan Subrayen</t>
  </si>
  <si>
    <t>Sum of Cost_INR_Cr</t>
  </si>
  <si>
    <t>Grand Total</t>
  </si>
  <si>
    <t>Row Labels</t>
  </si>
  <si>
    <t>Count of Player</t>
  </si>
  <si>
    <t>Max of Cost_INR_Cr</t>
  </si>
  <si>
    <t>Total Players</t>
  </si>
  <si>
    <t>Total Sold</t>
  </si>
  <si>
    <t>Total Auction Spend</t>
  </si>
  <si>
    <t>Avg Player Price</t>
  </si>
  <si>
    <t>IPL 2023 Auction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</si>
</sst>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9">
    <font>
      <sz val="11"/>
      <color theme="1"/>
      <name val="Calibri"/>
      <family val="2"/>
      <scheme val="minor"/>
    </font>
    <font>
      <sz val="11"/>
      <color theme="0"/>
      <name val="Calibri"/>
      <family val="2"/>
      <scheme val="minor"/>
    </font>
    <font>
      <b/>
      <sz val="11"/>
      <color rgb="FF000000"/>
      <name val="Calibri"/>
      <family val="2"/>
      <scheme val="minor"/>
    </font>
    <font>
      <sz val="11"/>
      <color rgb="FF000000"/>
      <name val="Calibri"/>
      <family val="2"/>
      <scheme val="minor"/>
    </font>
    <font>
      <sz val="20"/>
      <color theme="0"/>
      <name val="Seoge ui"/>
    </font>
    <font>
      <sz val="10"/>
      <color theme="1"/>
      <name val="Calibri"/>
      <family val="2"/>
      <scheme val="minor"/>
    </font>
    <font>
      <b/>
      <sz val="24"/>
      <color theme="0"/>
      <name val="Seoge ui"/>
    </font>
    <font>
      <b/>
      <sz val="10"/>
      <color theme="0"/>
      <name val="Segoe UI"/>
      <family val="2"/>
    </font>
    <font>
      <b/>
      <sz val="10"/>
      <color theme="0"/>
      <name val="Seoge ui"/>
    </font>
  </fonts>
  <fills count="9">
    <fill>
      <patternFill patternType="none"/>
    </fill>
    <fill>
      <patternFill patternType="gray125"/>
    </fill>
    <fill>
      <patternFill patternType="solid">
        <fgColor rgb="FFD9E1F2"/>
        <bgColor rgb="FFD9E1F2"/>
      </patternFill>
    </fill>
    <fill>
      <patternFill patternType="solid">
        <fgColor rgb="FF7B5CE6"/>
        <bgColor indexed="64"/>
      </patternFill>
    </fill>
    <fill>
      <patternFill patternType="solid">
        <fgColor rgb="FFFF7043"/>
        <bgColor indexed="64"/>
      </patternFill>
    </fill>
    <fill>
      <patternFill patternType="solid">
        <fgColor rgb="FF00BFA5"/>
        <bgColor indexed="64"/>
      </patternFill>
    </fill>
    <fill>
      <patternFill patternType="solid">
        <fgColor rgb="FFFF3399"/>
        <bgColor indexed="64"/>
      </patternFill>
    </fill>
    <fill>
      <patternFill patternType="solid">
        <fgColor theme="2" tint="-0.749992370372631"/>
        <bgColor indexed="64"/>
      </patternFill>
    </fill>
    <fill>
      <patternFill patternType="solid">
        <fgColor theme="6" tint="0.39997558519241921"/>
        <bgColor indexed="64"/>
      </patternFill>
    </fill>
  </fills>
  <borders count="1">
    <border>
      <left/>
      <right/>
      <top/>
      <bottom/>
      <diagonal/>
    </border>
  </borders>
  <cellStyleXfs count="1">
    <xf numFmtId="0" fontId="0" fillId="0" borderId="0"/>
  </cellStyleXfs>
  <cellXfs count="19">
    <xf numFmtId="0" fontId="0" fillId="0" borderId="0" xfId="0"/>
    <xf numFmtId="0" fontId="2" fillId="0" borderId="0" xfId="0" applyFont="1" applyAlignment="1">
      <alignment horizontal="center" vertical="center"/>
    </xf>
    <xf numFmtId="0" fontId="3" fillId="2" borderId="0" xfId="0" applyFont="1" applyFill="1" applyAlignment="1">
      <alignment horizontal="center" vertical="center"/>
    </xf>
    <xf numFmtId="0" fontId="3" fillId="0" borderId="0" xfId="0" applyFont="1" applyAlignment="1">
      <alignment horizontal="center" vertical="center"/>
    </xf>
    <xf numFmtId="0" fontId="0" fillId="0" borderId="0" xfId="0" pivotButton="1"/>
    <xf numFmtId="0" fontId="0" fillId="0" borderId="0" xfId="0" applyAlignment="1">
      <alignment horizontal="left"/>
    </xf>
    <xf numFmtId="0" fontId="5" fillId="0" borderId="0" xfId="0" applyFont="1"/>
    <xf numFmtId="0" fontId="0" fillId="8" borderId="0" xfId="0" applyFill="1"/>
    <xf numFmtId="0" fontId="4" fillId="6" borderId="0" xfId="0" applyFont="1" applyFill="1" applyAlignment="1">
      <alignment horizontal="center"/>
    </xf>
    <xf numFmtId="0" fontId="8" fillId="3" borderId="0" xfId="0" applyFont="1" applyFill="1" applyAlignment="1">
      <alignment horizontal="center"/>
    </xf>
    <xf numFmtId="0" fontId="4" fillId="3" borderId="0" xfId="0" applyFont="1" applyFill="1" applyAlignment="1">
      <alignment horizontal="center"/>
    </xf>
    <xf numFmtId="0" fontId="8" fillId="4" borderId="0" xfId="0" applyFont="1" applyFill="1" applyAlignment="1">
      <alignment horizontal="center"/>
    </xf>
    <xf numFmtId="0" fontId="4" fillId="4" borderId="0" xfId="0" applyFont="1" applyFill="1" applyAlignment="1">
      <alignment horizontal="center"/>
    </xf>
    <xf numFmtId="0" fontId="8" fillId="5" borderId="0" xfId="0" applyFont="1" applyFill="1" applyAlignment="1">
      <alignment horizontal="center"/>
    </xf>
    <xf numFmtId="0" fontId="4" fillId="5" borderId="0" xfId="0" applyFont="1" applyFill="1" applyAlignment="1">
      <alignment horizontal="center"/>
    </xf>
    <xf numFmtId="0" fontId="6" fillId="7" borderId="0" xfId="0" applyFont="1" applyFill="1" applyAlignment="1">
      <alignment horizontal="center"/>
    </xf>
    <xf numFmtId="0" fontId="1" fillId="7" borderId="0" xfId="0" applyFont="1" applyFill="1" applyAlignment="1">
      <alignment horizontal="center"/>
    </xf>
    <xf numFmtId="0" fontId="7" fillId="6" borderId="0" xfId="0" applyFont="1" applyFill="1" applyAlignment="1">
      <alignment horizontal="center"/>
    </xf>
    <xf numFmtId="0" fontId="0" fillId="0" borderId="0" xfId="0" applyNumberFormat="1"/>
  </cellXfs>
  <cellStyles count="1">
    <cellStyle name="Normal" xfId="0" builtinId="0"/>
  </cellStyles>
  <dxfs count="15">
    <dxf>
      <font>
        <b val="0"/>
        <i val="0"/>
        <strike val="0"/>
        <condense val="0"/>
        <extend val="0"/>
        <outline val="0"/>
        <shadow val="0"/>
        <u val="none"/>
        <vertAlign val="baseline"/>
        <sz val="11"/>
        <color rgb="FF000000"/>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center" vertical="center" textRotation="0" wrapText="0" indent="0" justifyLastLine="0" shrinkToFit="0" readingOrder="0"/>
    </dxf>
    <dxf>
      <font>
        <b/>
        <i val="0"/>
        <strike val="0"/>
        <condense val="0"/>
        <extend val="0"/>
        <outline val="0"/>
        <shadow val="0"/>
        <u val="none"/>
        <vertAlign val="baseline"/>
        <sz val="11"/>
        <color rgb="FF000000"/>
        <name val="Calibri"/>
        <family val="2"/>
        <scheme val="minor"/>
      </font>
      <alignment horizontal="center" vertical="center" textRotation="0" wrapText="0" indent="0" justifyLastLine="0" shrinkToFit="0" readingOrder="0"/>
    </dxf>
    <dxf>
      <font>
        <color theme="0"/>
      </font>
    </dxf>
    <dxf>
      <font>
        <color theme="0"/>
      </font>
      <fill>
        <patternFill patternType="solid">
          <bgColor rgb="FF474747"/>
        </patternFill>
      </fill>
    </dxf>
    <dxf>
      <font>
        <b/>
        <i val="0"/>
        <color theme="0"/>
        <name val="Calibri Light"/>
        <family val="2"/>
        <scheme val="major"/>
      </font>
      <fill>
        <patternFill>
          <bgColor theme="1" tint="0.24994659260841701"/>
        </patternFill>
      </fill>
    </dxf>
    <dxf>
      <fill>
        <patternFill>
          <bgColor rgb="FF434343"/>
        </patternFill>
      </fill>
    </dxf>
  </dxfs>
  <tableStyles count="2" defaultTableStyle="TableStyleMedium2" defaultPivotStyle="PivotStyleLight16">
    <tableStyle name="Slicer Style 1" pivot="0" table="0" count="3" xr9:uid="{1689072E-5416-4FFC-A805-AAADD2DED300}">
      <tableStyleElement type="wholeTable" dxfId="14"/>
      <tableStyleElement type="headerRow" dxfId="13"/>
    </tableStyle>
    <tableStyle name="Slicer Style 2" pivot="0" table="0" count="3" xr9:uid="{96282351-38B7-4F21-997F-9BE892BD5DAD}">
      <tableStyleElement type="wholeTable" dxfId="12"/>
      <tableStyleElement type="headerRow" dxfId="11"/>
    </tableStyle>
  </tableStyles>
  <colors>
    <mruColors>
      <color rgb="FF00BFA5"/>
      <color rgb="FFFF7043"/>
      <color rgb="FF7B5CE6"/>
      <color rgb="FFFF3399"/>
      <color rgb="FF000066"/>
      <color rgb="FF003366"/>
      <color rgb="FF1E2A4A"/>
      <color rgb="FF474747"/>
      <color rgb="FF434343"/>
      <color rgb="FFFF4D8D"/>
    </mruColors>
  </colors>
  <extLst>
    <ext xmlns:x14="http://schemas.microsoft.com/office/spreadsheetml/2009/9/main" uri="{46F421CA-312F-682f-3DD2-61675219B42D}">
      <x14:dxfs count="2">
        <dxf>
          <font>
            <color theme="0"/>
          </font>
          <fill>
            <patternFill>
              <bgColor rgb="FFFF3399"/>
            </patternFill>
          </fill>
        </dxf>
        <dxf>
          <font>
            <b/>
            <i val="0"/>
            <color theme="0"/>
            <name val="Calibri Light"/>
            <family val="2"/>
            <scheme val="major"/>
          </font>
          <fill>
            <patternFill>
              <bgColor rgb="FF002060"/>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1"/>
          </x14:slicerStyleElements>
        </x14:slicerStyle>
        <x14:slicerStyle name="Slicer Style 2">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[IPL_Auction_Dashboard.xlsx]Pivot_Table!PivotTable1</c:name>
    <c:fmtId val="15"/>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1800" b="1" i="0" u="none" strike="noStrike" baseline="0">
                <a:solidFill>
                  <a:schemeClr val="bg1"/>
                </a:solidFill>
              </a:rPr>
              <a:t>Team-wise Auction Budget (₹ Crores</a:t>
            </a:r>
            <a:r>
              <a:rPr lang="en-US" sz="1800" b="0" i="0" u="none" strike="noStrike" baseline="0">
                <a:solidFill>
                  <a:schemeClr val="bg1"/>
                </a:solidFill>
              </a:rPr>
              <a:t>)</a:t>
            </a:r>
            <a:endParaRPr lang="en-US" sz="1800">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rgbClr val="FF339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339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339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Pivot_Table!$B$3</c:f>
              <c:strCache>
                <c:ptCount val="1"/>
                <c:pt idx="0">
                  <c:v>Total</c:v>
                </c:pt>
              </c:strCache>
            </c:strRef>
          </c:tx>
          <c:spPr>
            <a:solidFill>
              <a:srgbClr val="FF3399"/>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Pivot_Table!$A$4:$A$14</c:f>
              <c:strCache>
                <c:ptCount val="10"/>
                <c:pt idx="0">
                  <c:v>Kolkata Knight Riders</c:v>
                </c:pt>
                <c:pt idx="1">
                  <c:v>Royal Challengers Banglore</c:v>
                </c:pt>
                <c:pt idx="2">
                  <c:v>Rajasthan Royals</c:v>
                </c:pt>
                <c:pt idx="3">
                  <c:v>Gujarat Titans</c:v>
                </c:pt>
                <c:pt idx="4">
                  <c:v>Delhi Capitals</c:v>
                </c:pt>
                <c:pt idx="5">
                  <c:v>Chennai Super Kings</c:v>
                </c:pt>
                <c:pt idx="6">
                  <c:v>Lucknow Super Giants</c:v>
                </c:pt>
                <c:pt idx="7">
                  <c:v>Punjab Super Kings</c:v>
                </c:pt>
                <c:pt idx="8">
                  <c:v>Mumbai Indians</c:v>
                </c:pt>
                <c:pt idx="9">
                  <c:v>Sunrisers Hyderabad</c:v>
                </c:pt>
              </c:strCache>
            </c:strRef>
          </c:cat>
          <c:val>
            <c:numRef>
              <c:f>Pivot_Table!$B$4:$B$14</c:f>
              <c:numCache>
                <c:formatCode>General</c:formatCode>
                <c:ptCount val="10"/>
                <c:pt idx="0">
                  <c:v>5.4</c:v>
                </c:pt>
                <c:pt idx="1">
                  <c:v>7</c:v>
                </c:pt>
                <c:pt idx="2">
                  <c:v>9.8499999999999979</c:v>
                </c:pt>
                <c:pt idx="3">
                  <c:v>14.799999999999999</c:v>
                </c:pt>
                <c:pt idx="4">
                  <c:v>15</c:v>
                </c:pt>
                <c:pt idx="5">
                  <c:v>18.95</c:v>
                </c:pt>
                <c:pt idx="6">
                  <c:v>19.799999999999997</c:v>
                </c:pt>
                <c:pt idx="7">
                  <c:v>19.999999999999996</c:v>
                </c:pt>
                <c:pt idx="8">
                  <c:v>20.499999999999996</c:v>
                </c:pt>
                <c:pt idx="9">
                  <c:v>35.70000000000001</c:v>
                </c:pt>
              </c:numCache>
            </c:numRef>
          </c:val>
          <c:extLst>
            <c:ext xmlns:c16="http://schemas.microsoft.com/office/drawing/2014/chart" uri="{C3380CC4-5D6E-409C-BE32-E72D297353CC}">
              <c16:uniqueId val="{00000000-FAC2-4770-A26B-6BEA07C49B62}"/>
            </c:ext>
          </c:extLst>
        </c:ser>
        <c:dLbls>
          <c:dLblPos val="outEnd"/>
          <c:showLegendKey val="0"/>
          <c:showVal val="1"/>
          <c:showCatName val="0"/>
          <c:showSerName val="0"/>
          <c:showPercent val="0"/>
          <c:showBubbleSize val="0"/>
        </c:dLbls>
        <c:gapWidth val="182"/>
        <c:axId val="219640928"/>
        <c:axId val="219641408"/>
      </c:barChart>
      <c:catAx>
        <c:axId val="219640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crossAx val="219641408"/>
        <c:crosses val="autoZero"/>
        <c:auto val="1"/>
        <c:lblAlgn val="ctr"/>
        <c:lblOffset val="100"/>
        <c:noMultiLvlLbl val="0"/>
      </c:catAx>
      <c:valAx>
        <c:axId val="21964140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196409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2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[IPL_Auction_Dashboard.xlsx]Pivot_Table!PivotTable3</c:name>
    <c:fmtId val="1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solidFill>
                  <a:schemeClr val="bg1"/>
                </a:solidFill>
              </a:rPr>
              <a:t>Sold vs</a:t>
            </a:r>
            <a:r>
              <a:rPr lang="en-US" baseline="0">
                <a:solidFill>
                  <a:schemeClr val="bg1"/>
                </a:solidFill>
              </a:rPr>
              <a:t> Unsold Players</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FF3399"/>
          </a:solidFill>
          <a:ln>
            <a:noFill/>
          </a:ln>
          <a:effectLst>
            <a:outerShdw blurRad="254000" sx="102000" sy="102000" algn="ctr" rotWithShape="0">
              <a:prstClr val="black">
                <a:alpha val="20000"/>
              </a:prstClr>
            </a:outerShdw>
          </a:effectLst>
        </c:spPr>
      </c:pivotFmt>
      <c:pivotFmt>
        <c:idx val="2"/>
        <c:spPr>
          <a:solidFill>
            <a:srgbClr val="00BFA5"/>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rgbClr val="FF3399"/>
          </a:solidFill>
          <a:ln>
            <a:noFill/>
          </a:ln>
          <a:effectLst>
            <a:outerShdw blurRad="254000" sx="102000" sy="102000" algn="ctr" rotWithShape="0">
              <a:prstClr val="black">
                <a:alpha val="20000"/>
              </a:prstClr>
            </a:outerShdw>
          </a:effectLst>
        </c:spPr>
      </c:pivotFmt>
      <c:pivotFmt>
        <c:idx val="5"/>
        <c:spPr>
          <a:solidFill>
            <a:srgbClr val="00BFA5"/>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rgbClr val="FF3399"/>
          </a:solidFill>
          <a:ln>
            <a:noFill/>
          </a:ln>
          <a:effectLst>
            <a:outerShdw blurRad="254000" sx="102000" sy="102000" algn="ctr" rotWithShape="0">
              <a:prstClr val="black">
                <a:alpha val="20000"/>
              </a:prstClr>
            </a:outerShdw>
          </a:effectLst>
        </c:spPr>
      </c:pivotFmt>
      <c:pivotFmt>
        <c:idx val="8"/>
        <c:spPr>
          <a:solidFill>
            <a:srgbClr val="00BFA5"/>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Pivot_Table!$E$17</c:f>
              <c:strCache>
                <c:ptCount val="1"/>
                <c:pt idx="0">
                  <c:v>Total</c:v>
                </c:pt>
              </c:strCache>
            </c:strRef>
          </c:tx>
          <c:dPt>
            <c:idx val="0"/>
            <c:bubble3D val="0"/>
            <c:spPr>
              <a:solidFill>
                <a:srgbClr val="FF3399"/>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1FD5-49C3-A634-7FD8C245F0EF}"/>
              </c:ext>
            </c:extLst>
          </c:dPt>
          <c:dPt>
            <c:idx val="1"/>
            <c:bubble3D val="0"/>
            <c:spPr>
              <a:solidFill>
                <a:srgbClr val="00BFA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1FD5-49C3-A634-7FD8C245F0EF}"/>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Pivot_Table!$D$18:$D$20</c:f>
              <c:strCache>
                <c:ptCount val="2"/>
                <c:pt idx="0">
                  <c:v>Sold</c:v>
                </c:pt>
                <c:pt idx="1">
                  <c:v>Unsold</c:v>
                </c:pt>
              </c:strCache>
            </c:strRef>
          </c:cat>
          <c:val>
            <c:numRef>
              <c:f>Pivot_Table!$E$18:$E$20</c:f>
              <c:numCache>
                <c:formatCode>General</c:formatCode>
                <c:ptCount val="2"/>
                <c:pt idx="0">
                  <c:v>243</c:v>
                </c:pt>
                <c:pt idx="1">
                  <c:v>325</c:v>
                </c:pt>
              </c:numCache>
            </c:numRef>
          </c:val>
          <c:extLst>
            <c:ext xmlns:c16="http://schemas.microsoft.com/office/drawing/2014/chart" uri="{C3380CC4-5D6E-409C-BE32-E72D297353CC}">
              <c16:uniqueId val="{00000004-1FD5-49C3-A634-7FD8C245F0EF}"/>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egendEntry>
        <c:idx val="0"/>
        <c:txPr>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legendEntry>
      <c:legendEntry>
        <c:idx val="1"/>
        <c:txPr>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legendEntry>
      <c:overlay val="0"/>
      <c:spPr>
        <a:solidFill>
          <a:schemeClr val="lt1">
            <a:lumMod val="95000"/>
            <a:alpha val="39000"/>
          </a:schemeClr>
        </a:solidFill>
        <a:ln>
          <a:noFill/>
        </a:ln>
        <a:effectLst/>
      </c:spPr>
      <c:txPr>
        <a:bodyPr rot="0" spcFirstLastPara="1" vertOverflow="ellipsis" vert="horz" wrap="square" anchor="ctr" anchorCtr="1"/>
        <a:lstStyle/>
        <a:p>
          <a:pPr>
            <a:defRPr sz="10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25000"/>
      </a:schemeClr>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[IPL_Auction_Dashboard.xlsx]Pivot_Table!PivotTable2</c:name>
    <c:fmtId val="7"/>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solidFill>
                  <a:schemeClr val="bg1"/>
                </a:solidFill>
              </a:rPr>
              <a:t>Squad Composition by Role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FF7043"/>
          </a:solidFill>
          <a:ln>
            <a:noFill/>
          </a:ln>
          <a:effectLst>
            <a:outerShdw blurRad="254000" sx="102000" sy="102000" algn="ctr" rotWithShape="0">
              <a:prstClr val="black">
                <a:alpha val="20000"/>
              </a:prstClr>
            </a:outerShdw>
          </a:effectLst>
          <a:sp3d/>
        </c:spPr>
      </c:pivotFmt>
      <c:pivotFmt>
        <c:idx val="2"/>
        <c:spPr>
          <a:solidFill>
            <a:srgbClr val="7B5CE6"/>
          </a:solidFill>
          <a:ln>
            <a:noFill/>
          </a:ln>
          <a:effectLst>
            <a:outerShdw blurRad="254000" sx="102000" sy="102000" algn="ctr" rotWithShape="0">
              <a:prstClr val="black">
                <a:alpha val="20000"/>
              </a:prstClr>
            </a:outerShdw>
          </a:effectLst>
          <a:sp3d/>
        </c:spPr>
      </c:pivotFmt>
      <c:pivotFmt>
        <c:idx val="3"/>
        <c:spPr>
          <a:solidFill>
            <a:srgbClr val="FF4D8D"/>
          </a:solidFill>
          <a:ln>
            <a:noFill/>
          </a:ln>
          <a:effectLst>
            <a:outerShdw blurRad="254000" sx="102000" sy="102000" algn="ctr" rotWithShape="0">
              <a:prstClr val="black">
                <a:alpha val="20000"/>
              </a:prstClr>
            </a:outerShdw>
          </a:effectLst>
          <a:sp3d/>
        </c:spPr>
      </c:pivotFmt>
      <c:pivotFmt>
        <c:idx val="4"/>
        <c:spPr>
          <a:solidFill>
            <a:srgbClr val="00BFA5"/>
          </a:solidFill>
          <a:ln>
            <a:noFill/>
          </a:ln>
          <a:effectLst>
            <a:outerShdw blurRad="254000" sx="102000" sy="102000" algn="ctr" rotWithShape="0">
              <a:prstClr val="black">
                <a:alpha val="20000"/>
              </a:prstClr>
            </a:outerShdw>
          </a:effectLst>
          <a:sp3d/>
        </c:spPr>
      </c:pivotFmt>
      <c:pivotFmt>
        <c:idx val="5"/>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
        <c:spPr>
          <a:solidFill>
            <a:srgbClr val="FF7043"/>
          </a:solidFill>
          <a:ln>
            <a:noFill/>
          </a:ln>
          <a:effectLst>
            <a:outerShdw blurRad="254000" sx="102000" sy="102000" algn="ctr" rotWithShape="0">
              <a:prstClr val="black">
                <a:alpha val="20000"/>
              </a:prstClr>
            </a:outerShdw>
          </a:effectLst>
          <a:sp3d/>
        </c:spPr>
      </c:pivotFmt>
      <c:pivotFmt>
        <c:idx val="7"/>
        <c:spPr>
          <a:solidFill>
            <a:srgbClr val="7B5CE6"/>
          </a:solidFill>
          <a:ln>
            <a:noFill/>
          </a:ln>
          <a:effectLst>
            <a:outerShdw blurRad="254000" sx="102000" sy="102000" algn="ctr" rotWithShape="0">
              <a:prstClr val="black">
                <a:alpha val="20000"/>
              </a:prstClr>
            </a:outerShdw>
          </a:effectLst>
          <a:sp3d/>
        </c:spPr>
      </c:pivotFmt>
      <c:pivotFmt>
        <c:idx val="8"/>
        <c:spPr>
          <a:solidFill>
            <a:srgbClr val="FF4D8D"/>
          </a:solidFill>
          <a:ln>
            <a:noFill/>
          </a:ln>
          <a:effectLst>
            <a:outerShdw blurRad="254000" sx="102000" sy="102000" algn="ctr" rotWithShape="0">
              <a:prstClr val="black">
                <a:alpha val="20000"/>
              </a:prstClr>
            </a:outerShdw>
          </a:effectLst>
          <a:sp3d/>
        </c:spPr>
      </c:pivotFmt>
      <c:pivotFmt>
        <c:idx val="9"/>
        <c:spPr>
          <a:solidFill>
            <a:srgbClr val="00BFA5"/>
          </a:solidFill>
          <a:ln>
            <a:noFill/>
          </a:ln>
          <a:effectLst>
            <a:outerShdw blurRad="254000" sx="102000" sy="102000" algn="ctr" rotWithShape="0">
              <a:prstClr val="black">
                <a:alpha val="20000"/>
              </a:prstClr>
            </a:outerShdw>
          </a:effectLst>
          <a:sp3d/>
        </c:spPr>
      </c:pivotFmt>
      <c:pivotFmt>
        <c:idx val="1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1"/>
        <c:spPr>
          <a:solidFill>
            <a:srgbClr val="FF7043"/>
          </a:solidFill>
          <a:ln>
            <a:noFill/>
          </a:ln>
          <a:effectLst>
            <a:outerShdw blurRad="254000" sx="102000" sy="102000" algn="ctr" rotWithShape="0">
              <a:prstClr val="black">
                <a:alpha val="20000"/>
              </a:prstClr>
            </a:outerShdw>
          </a:effectLst>
          <a:sp3d/>
        </c:spPr>
      </c:pivotFmt>
      <c:pivotFmt>
        <c:idx val="12"/>
        <c:spPr>
          <a:solidFill>
            <a:srgbClr val="7B5CE6"/>
          </a:solidFill>
          <a:ln>
            <a:noFill/>
          </a:ln>
          <a:effectLst>
            <a:outerShdw blurRad="254000" sx="102000" sy="102000" algn="ctr" rotWithShape="0">
              <a:prstClr val="black">
                <a:alpha val="20000"/>
              </a:prstClr>
            </a:outerShdw>
          </a:effectLst>
          <a:sp3d/>
        </c:spPr>
      </c:pivotFmt>
      <c:pivotFmt>
        <c:idx val="13"/>
        <c:spPr>
          <a:solidFill>
            <a:srgbClr val="FF4D8D"/>
          </a:solidFill>
          <a:ln>
            <a:noFill/>
          </a:ln>
          <a:effectLst>
            <a:outerShdw blurRad="254000" sx="102000" sy="102000" algn="ctr" rotWithShape="0">
              <a:prstClr val="black">
                <a:alpha val="20000"/>
              </a:prstClr>
            </a:outerShdw>
          </a:effectLst>
          <a:sp3d/>
        </c:spPr>
      </c:pivotFmt>
      <c:pivotFmt>
        <c:idx val="14"/>
        <c:spPr>
          <a:solidFill>
            <a:srgbClr val="00BFA5"/>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Pivot_Table!$F$3</c:f>
              <c:strCache>
                <c:ptCount val="1"/>
                <c:pt idx="0">
                  <c:v>Total</c:v>
                </c:pt>
              </c:strCache>
            </c:strRef>
          </c:tx>
          <c:dPt>
            <c:idx val="0"/>
            <c:bubble3D val="0"/>
            <c:spPr>
              <a:solidFill>
                <a:srgbClr val="FF704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7852-4049-868D-8403918127B3}"/>
              </c:ext>
            </c:extLst>
          </c:dPt>
          <c:dPt>
            <c:idx val="1"/>
            <c:bubble3D val="0"/>
            <c:spPr>
              <a:solidFill>
                <a:srgbClr val="7B5CE6"/>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7852-4049-868D-8403918127B3}"/>
              </c:ext>
            </c:extLst>
          </c:dPt>
          <c:dPt>
            <c:idx val="2"/>
            <c:bubble3D val="0"/>
            <c:spPr>
              <a:solidFill>
                <a:srgbClr val="FF4D8D"/>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7852-4049-868D-8403918127B3}"/>
              </c:ext>
            </c:extLst>
          </c:dPt>
          <c:dPt>
            <c:idx val="3"/>
            <c:bubble3D val="0"/>
            <c:spPr>
              <a:solidFill>
                <a:srgbClr val="00BFA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7852-4049-868D-8403918127B3}"/>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Pivot_Table!$E$4:$E$8</c:f>
              <c:strCache>
                <c:ptCount val="4"/>
                <c:pt idx="0">
                  <c:v>ALL-ROUNDER</c:v>
                </c:pt>
                <c:pt idx="1">
                  <c:v>BATSMAN</c:v>
                </c:pt>
                <c:pt idx="2">
                  <c:v>BOWLER</c:v>
                </c:pt>
                <c:pt idx="3">
                  <c:v>WICKETKEEPER</c:v>
                </c:pt>
              </c:strCache>
            </c:strRef>
          </c:cat>
          <c:val>
            <c:numRef>
              <c:f>Pivot_Table!$F$4:$F$8</c:f>
              <c:numCache>
                <c:formatCode>General</c:formatCode>
                <c:ptCount val="4"/>
                <c:pt idx="0">
                  <c:v>213</c:v>
                </c:pt>
                <c:pt idx="1">
                  <c:v>91</c:v>
                </c:pt>
                <c:pt idx="2">
                  <c:v>189</c:v>
                </c:pt>
                <c:pt idx="3">
                  <c:v>75</c:v>
                </c:pt>
              </c:numCache>
            </c:numRef>
          </c:val>
          <c:extLst>
            <c:ext xmlns:c16="http://schemas.microsoft.com/office/drawing/2014/chart" uri="{C3380CC4-5D6E-409C-BE32-E72D297353CC}">
              <c16:uniqueId val="{00000008-7852-4049-868D-8403918127B3}"/>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25000"/>
      </a:schemeClr>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[IPL_Auction_Dashboard.xlsx]Pivot_Table!PivotTable4</c:name>
    <c:fmtId val="1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Highest</a:t>
            </a:r>
            <a:r>
              <a:rPr lang="en-US" baseline="0">
                <a:solidFill>
                  <a:schemeClr val="bg1"/>
                </a:solidFill>
              </a:rPr>
              <a:t> Played Players IPL- 2023</a:t>
            </a:r>
            <a:endParaRPr lang="en-US">
              <a:solidFill>
                <a:schemeClr val="bg1"/>
              </a:solidFill>
            </a:endParaRPr>
          </a:p>
        </c:rich>
      </c:tx>
      <c:layout>
        <c:manualLayout>
          <c:xMode val="edge"/>
          <c:yMode val="edge"/>
          <c:x val="0.25361111111111118"/>
          <c:y val="6.018518518518518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rgbClr val="00BFA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BFA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FA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Pivot_Table!$K$3</c:f>
              <c:strCache>
                <c:ptCount val="1"/>
                <c:pt idx="0">
                  <c:v>Total</c:v>
                </c:pt>
              </c:strCache>
            </c:strRef>
          </c:tx>
          <c:spPr>
            <a:solidFill>
              <a:srgbClr val="00BFA5"/>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Pivot_Table!$J$4:$J$14</c:f>
              <c:strCache>
                <c:ptCount val="10"/>
                <c:pt idx="0">
                  <c:v>Heinrich Klaasen</c:v>
                </c:pt>
                <c:pt idx="1">
                  <c:v>Mukesh Kumar</c:v>
                </c:pt>
                <c:pt idx="2">
                  <c:v>Jason Holder</c:v>
                </c:pt>
                <c:pt idx="3">
                  <c:v>Shivam Mavi</c:v>
                </c:pt>
                <c:pt idx="4">
                  <c:v>Mayank Agarwal</c:v>
                </c:pt>
                <c:pt idx="5">
                  <c:v>Harry Brook</c:v>
                </c:pt>
                <c:pt idx="6">
                  <c:v>Nicholas Pooran</c:v>
                </c:pt>
                <c:pt idx="7">
                  <c:v>Ben Stokes</c:v>
                </c:pt>
                <c:pt idx="8">
                  <c:v>Cameron Green</c:v>
                </c:pt>
                <c:pt idx="9">
                  <c:v>Sam Curran</c:v>
                </c:pt>
              </c:strCache>
            </c:strRef>
          </c:cat>
          <c:val>
            <c:numRef>
              <c:f>Pivot_Table!$K$4:$K$14</c:f>
              <c:numCache>
                <c:formatCode>General</c:formatCode>
                <c:ptCount val="10"/>
                <c:pt idx="0">
                  <c:v>5.25</c:v>
                </c:pt>
                <c:pt idx="1">
                  <c:v>5.5</c:v>
                </c:pt>
                <c:pt idx="2">
                  <c:v>5.75</c:v>
                </c:pt>
                <c:pt idx="3">
                  <c:v>6</c:v>
                </c:pt>
                <c:pt idx="4">
                  <c:v>8.25</c:v>
                </c:pt>
                <c:pt idx="5">
                  <c:v>13.25</c:v>
                </c:pt>
                <c:pt idx="6">
                  <c:v>16</c:v>
                </c:pt>
                <c:pt idx="7">
                  <c:v>16.25</c:v>
                </c:pt>
                <c:pt idx="8">
                  <c:v>17.5</c:v>
                </c:pt>
                <c:pt idx="9">
                  <c:v>18.5</c:v>
                </c:pt>
              </c:numCache>
            </c:numRef>
          </c:val>
          <c:extLst>
            <c:ext xmlns:c16="http://schemas.microsoft.com/office/drawing/2014/chart" uri="{C3380CC4-5D6E-409C-BE32-E72D297353CC}">
              <c16:uniqueId val="{00000000-7BAB-4E36-88DA-8F56F56A0582}"/>
            </c:ext>
          </c:extLst>
        </c:ser>
        <c:dLbls>
          <c:showLegendKey val="0"/>
          <c:showVal val="1"/>
          <c:showCatName val="0"/>
          <c:showSerName val="0"/>
          <c:showPercent val="0"/>
          <c:showBubbleSize val="0"/>
        </c:dLbls>
        <c:gapWidth val="150"/>
        <c:shape val="box"/>
        <c:axId val="219677888"/>
        <c:axId val="219682208"/>
        <c:axId val="0"/>
      </c:bar3DChart>
      <c:catAx>
        <c:axId val="21967788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19682208"/>
        <c:crosses val="autoZero"/>
        <c:auto val="1"/>
        <c:lblAlgn val="ctr"/>
        <c:lblOffset val="100"/>
        <c:noMultiLvlLbl val="0"/>
      </c:catAx>
      <c:valAx>
        <c:axId val="21968220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196778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85000"/>
        <a:lumOff val="1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absolute">
    <xdr:from>
      <xdr:col>1</xdr:col>
      <xdr:colOff>13379</xdr:colOff>
      <xdr:row>33</xdr:row>
      <xdr:rowOff>151848</xdr:rowOff>
    </xdr:from>
    <xdr:to>
      <xdr:col>3</xdr:col>
      <xdr:colOff>560074</xdr:colOff>
      <xdr:row>42</xdr:row>
      <xdr:rowOff>15930</xdr:rowOff>
    </xdr:to>
    <mc:AlternateContent xmlns:mc="http://schemas.openxmlformats.org/markup-compatibility/2006" xmlns:a14="http://schemas.microsoft.com/office/drawing/2010/main">
      <mc:Choice Requires="a14">
        <xdr:graphicFrame macro="">
          <xdr:nvGraphicFramePr>
            <xdr:cNvPr id="6" name="TYPE">
              <a:extLst>
                <a:ext uri="{FF2B5EF4-FFF2-40B4-BE49-F238E27FC236}">
                  <a16:creationId xmlns:a16="http://schemas.microsoft.com/office/drawing/2014/main" id="{66BFD2D2-96ED-4165-B0F1-C9568083B8AB}"/>
                </a:ext>
              </a:extLst>
            </xdr:cNvPr>
            <xdr:cNvGraphicFramePr/>
          </xdr:nvGraphicFramePr>
          <xdr:xfrm>
            <a:off x="0" y="0"/>
            <a:ext cx="0" cy="0"/>
          </xdr:xfrm>
          <a:graphic>
            <a:graphicData uri="http://schemas.microsoft.com/office/drawing/2010/slicer">
              <sle:slicer xmlns:sle="http://schemas.microsoft.com/office/drawing/2010/slicer" name="TYPE"/>
            </a:graphicData>
          </a:graphic>
        </xdr:graphicFrame>
      </mc:Choice>
      <mc:Fallback xmlns="">
        <xdr:sp macro="" textlink="">
          <xdr:nvSpPr>
            <xdr:cNvPr id="0" name=""/>
            <xdr:cNvSpPr>
              <a:spLocks noTextEdit="1"/>
            </xdr:cNvSpPr>
          </xdr:nvSpPr>
          <xdr:spPr>
            <a:xfrm>
              <a:off x="677687" y="6286925"/>
              <a:ext cx="1826464" cy="15346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657300</xdr:colOff>
      <xdr:row>12</xdr:row>
      <xdr:rowOff>10832</xdr:rowOff>
    </xdr:from>
    <xdr:to>
      <xdr:col>3</xdr:col>
      <xdr:colOff>539687</xdr:colOff>
      <xdr:row>29</xdr:row>
      <xdr:rowOff>163316</xdr:rowOff>
    </xdr:to>
    <mc:AlternateContent xmlns:mc="http://schemas.openxmlformats.org/markup-compatibility/2006" xmlns:a14="http://schemas.microsoft.com/office/drawing/2010/main">
      <mc:Choice Requires="a14">
        <xdr:graphicFrame macro="">
          <xdr:nvGraphicFramePr>
            <xdr:cNvPr id="7" name="Team">
              <a:extLst>
                <a:ext uri="{FF2B5EF4-FFF2-40B4-BE49-F238E27FC236}">
                  <a16:creationId xmlns:a16="http://schemas.microsoft.com/office/drawing/2014/main" id="{DA657D93-DC14-4914-90E7-2A31B101E2DC}"/>
                </a:ext>
              </a:extLst>
            </xdr:cNvPr>
            <xdr:cNvGraphicFramePr/>
          </xdr:nvGraphicFramePr>
          <xdr:xfrm>
            <a:off x="0" y="0"/>
            <a:ext cx="0" cy="0"/>
          </xdr:xfrm>
          <a:graphic>
            <a:graphicData uri="http://schemas.microsoft.com/office/drawing/2010/slicer">
              <sle:slicer xmlns:sle="http://schemas.microsoft.com/office/drawing/2010/slicer" name="Team"/>
            </a:graphicData>
          </a:graphic>
        </xdr:graphicFrame>
      </mc:Choice>
      <mc:Fallback xmlns="">
        <xdr:sp macro="" textlink="">
          <xdr:nvSpPr>
            <xdr:cNvPr id="0" name=""/>
            <xdr:cNvSpPr>
              <a:spLocks noTextEdit="1"/>
            </xdr:cNvSpPr>
          </xdr:nvSpPr>
          <xdr:spPr>
            <a:xfrm>
              <a:off x="657300" y="2247986"/>
              <a:ext cx="1826464" cy="330794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5</xdr:col>
      <xdr:colOff>384152</xdr:colOff>
      <xdr:row>11</xdr:row>
      <xdr:rowOff>33405</xdr:rowOff>
    </xdr:from>
    <xdr:to>
      <xdr:col>13</xdr:col>
      <xdr:colOff>98323</xdr:colOff>
      <xdr:row>26</xdr:row>
      <xdr:rowOff>98323</xdr:rowOff>
    </xdr:to>
    <xdr:graphicFrame macro="">
      <xdr:nvGraphicFramePr>
        <xdr:cNvPr id="9" name="Chart 8">
          <a:extLst>
            <a:ext uri="{FF2B5EF4-FFF2-40B4-BE49-F238E27FC236}">
              <a16:creationId xmlns:a16="http://schemas.microsoft.com/office/drawing/2014/main" id="{1164724C-56B9-46F7-B5C7-4B9E857160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372175</xdr:colOff>
      <xdr:row>10</xdr:row>
      <xdr:rowOff>176161</xdr:rowOff>
    </xdr:from>
    <xdr:to>
      <xdr:col>23</xdr:col>
      <xdr:colOff>40217</xdr:colOff>
      <xdr:row>26</xdr:row>
      <xdr:rowOff>65279</xdr:rowOff>
    </xdr:to>
    <xdr:graphicFrame macro="">
      <xdr:nvGraphicFramePr>
        <xdr:cNvPr id="10" name="Chart 9">
          <a:extLst>
            <a:ext uri="{FF2B5EF4-FFF2-40B4-BE49-F238E27FC236}">
              <a16:creationId xmlns:a16="http://schemas.microsoft.com/office/drawing/2014/main" id="{2DB3EFB2-BE78-446F-B5A0-664C880359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455687</xdr:colOff>
      <xdr:row>28</xdr:row>
      <xdr:rowOff>129206</xdr:rowOff>
    </xdr:from>
    <xdr:to>
      <xdr:col>13</xdr:col>
      <xdr:colOff>173325</xdr:colOff>
      <xdr:row>43</xdr:row>
      <xdr:rowOff>88177</xdr:rowOff>
    </xdr:to>
    <xdr:graphicFrame macro="">
      <xdr:nvGraphicFramePr>
        <xdr:cNvPr id="11" name="Chart 10">
          <a:extLst>
            <a:ext uri="{FF2B5EF4-FFF2-40B4-BE49-F238E27FC236}">
              <a16:creationId xmlns:a16="http://schemas.microsoft.com/office/drawing/2014/main" id="{AFA78863-3525-4AEF-A0B2-E3E3A29E89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329317</xdr:colOff>
      <xdr:row>28</xdr:row>
      <xdr:rowOff>36556</xdr:rowOff>
    </xdr:from>
    <xdr:to>
      <xdr:col>23</xdr:col>
      <xdr:colOff>46954</xdr:colOff>
      <xdr:row>42</xdr:row>
      <xdr:rowOff>179879</xdr:rowOff>
    </xdr:to>
    <xdr:graphicFrame macro="">
      <xdr:nvGraphicFramePr>
        <xdr:cNvPr id="12" name="Chart 11">
          <a:extLst>
            <a:ext uri="{FF2B5EF4-FFF2-40B4-BE49-F238E27FC236}">
              <a16:creationId xmlns:a16="http://schemas.microsoft.com/office/drawing/2014/main" id="{35D5B8FF-31B9-4B50-B4C4-E5BE1742FC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6157.492434953703" createdVersion="8" refreshedVersion="8" minRefreshableVersion="3" recordCount="568" xr:uid="{A2485DA2-97CB-4F9D-81F5-9EEF4599B910}">
  <cacheSource type="worksheet">
    <worksheetSource name="IPLData"/>
  </cacheSource>
  <cacheFields count="9">
    <cacheField name="Player" numFmtId="0">
      <sharedItems count="565">
        <s v="Shivam Mavi"/>
        <s v="Joshua Little"/>
        <s v="Kane Williamson"/>
        <s v="K.S. Bharat"/>
        <s v="Mohit Sharma"/>
        <s v="Odean Smith"/>
        <s v="Urvil Patel"/>
        <s v="Rahul Tewatia"/>
        <s v="Pradeep Sangwan"/>
        <s v="Rashid Khan"/>
        <s v="R. Sai Kishore"/>
        <s v="Yash Dayal"/>
        <s v="Noor Ahmad"/>
        <s v="Wriddhiman Saha"/>
        <s v="Vijay Shankar"/>
        <s v="Shubman Gill"/>
        <s v="Hardik Pandya"/>
        <s v="B. Sai Sudharsan"/>
        <s v="Alzarri Joseph"/>
        <s v="Abhinav Sadarangani"/>
        <s v="Darshan Nalkande"/>
        <s v="David Miller"/>
        <s v="Matthew Wade"/>
        <s v="Jayant Yadav"/>
        <s v="Mohammad Shami"/>
        <s v="Ben Stokes"/>
        <s v="Kyle Jamieson"/>
        <s v="Nishant Sindhu"/>
        <s v="Ajinkya Rahane"/>
        <s v="Bhagath Varma"/>
        <s v="Ajay Mandal"/>
        <s v="Shaik Rasheed"/>
        <s v="Ravindra Jadeja"/>
        <s v="Rajvardhan Hangargekar"/>
        <s v="Prashant Solanki"/>
        <s v="Ruturaj Gaikwad"/>
        <s v="Tushar Deshpande"/>
        <s v="Mukesh Choudhary"/>
        <s v="Subhranshu Senapati"/>
        <s v="Simarjeet Singh"/>
        <s v="Shivam Dube"/>
        <s v="Matheesha Pathirana"/>
        <s v="Devon Conway"/>
        <s v="Deepak Chahar"/>
        <s v="Ambati Rayudu"/>
        <s v="Dwaine Pretorius"/>
        <s v="Maheesh Theekshana"/>
        <s v="Moeen Ali"/>
        <s v="Mitchell Santner"/>
        <s v="MS Dhoni"/>
        <s v="Mukesh Kumar"/>
        <s v="Rilee Rossouw"/>
        <s v="Manish Pandey"/>
        <s v="Phil Salt"/>
        <s v="Ishant Sharma"/>
        <s v="Ripal Patel"/>
        <s v="Pravin Dubey"/>
        <s v="Rishabh Pant"/>
        <s v="Prithvi Shaw"/>
        <s v="Syed Khaleel Ahmed"/>
        <s v="Yash Dhull"/>
        <s v="Vicky Ostwal"/>
        <s v="Mustafizur Rahman"/>
        <s v="Sarfaraz Khan"/>
        <s v="Rovman Powell"/>
        <s v="Lalit Yadav"/>
        <s v="Axar Patel"/>
        <s v="Anrich Nortje"/>
        <s v="Aman Khan (T)"/>
        <s v="Chetan Sakariya"/>
        <s v="David Warner"/>
        <s v="Lungisani Ngidi"/>
        <s v="Kuldeep Yadav"/>
        <s v="Kamlesh Nagarkoti"/>
        <s v="Mitchell Marsh"/>
        <s v="Shakib Al Hasan"/>
        <s v="David Wiese"/>
        <s v="N. Jagadeesan"/>
        <s v="Vaibhav Arora"/>
        <s v="Litton Das"/>
        <s v="Mandeep Singh"/>
        <s v="Kulwant Khejroliya"/>
        <s v="Suyash Sharma"/>
        <s v="Sunil Narine"/>
        <s v="Shreyas Iyer"/>
        <s v="Tim Southee"/>
        <s v="Umesh Yadav"/>
        <s v="Varun Chakaravarthy"/>
        <s v="Shardul Thakur (T)"/>
        <s v="Venkatesh Iyer"/>
        <s v="Harshit Rana"/>
        <s v="Anukul Roy"/>
        <s v="Andre Russell"/>
        <s v="Lockie Ferguson (T)"/>
        <s v="Nitish Rana"/>
        <s v="Rahmanullah Gurbaz (T)"/>
        <s v="Rinku Singh"/>
        <s v="Sam Curran"/>
        <s v="Sikandar Raza"/>
        <s v="Harpreet Bhatia"/>
        <s v="Mohit Rathee"/>
        <s v="Vidwath Kaverappa"/>
        <s v="Shivam Singh"/>
        <s v="Liam Livingstone"/>
        <s v="Baltej Singh Dhanda"/>
        <s v="Atharva Taide"/>
        <s v="Bhanuka Rajapakse"/>
        <s v="Jitesh Sharma"/>
        <s v="Nathan Ellis"/>
        <s v="Jonny Bairstow"/>
        <s v="Kagiso Rabada"/>
        <s v="Harpreet Brar"/>
        <s v="Shahrukh Khan"/>
        <s v="Shikhar Dhawan"/>
        <s v="Rahul Chahar"/>
        <s v="Arshdeep Singh"/>
        <s v="Prabhsimran Singh"/>
        <s v="Raj Angad Bawa"/>
        <s v="Rishi Dhawan"/>
        <s v="Nicholas Pooran"/>
        <s v="Daniel Sams"/>
        <s v="Jaydev Unadkat"/>
        <s v="Naveen Ul Haq"/>
        <s v="Amit Mishra"/>
        <s v="Romario Shepherd"/>
        <s v="Yash Thakur"/>
        <s v="Swapnil Singh"/>
        <s v="Yudhvir Charak"/>
        <s v="Prerak Mankad"/>
        <s v="Mark Wood"/>
        <s v="Marcus Stoinis"/>
        <s v="Mayank Yadav"/>
        <s v="Mohsin Khan"/>
        <s v="Quinton De Kock"/>
        <s v="Manan Vohra"/>
        <s v="Ravi Bishnoi"/>
        <s v="Deepak Hooda"/>
        <s v="Ayush Badoni"/>
        <s v="Avesh Khan"/>
        <s v="K. Gowtham"/>
        <s v="Karan Sharma"/>
        <s v="Krunal Pandya"/>
        <s v="KL Rahul"/>
        <s v="Kyle Mayers"/>
        <s v="Cameron Green"/>
        <s v="Jhye Richardson"/>
        <s v="Piyush Chawla"/>
        <s v="Raghav Goyal"/>
        <s v="Shams Mulani"/>
        <s v="Nehal Wadhera"/>
        <s v="Vishnu Vinod"/>
        <s v="Duan Jansen"/>
        <s v="Ramandeep Singh"/>
        <s v="N. Tilak Varma"/>
        <s v="Mohd. Arshad Khan"/>
        <s v="Rohit Sharma"/>
        <s v="Suryakumar Yadav"/>
        <s v="Kumar Kartikeya Singh"/>
        <s v="Tristan Stubbs*"/>
        <s v="Tim David"/>
        <s v="Hrithik Shokeen"/>
        <s v="Arjun Tendulkar"/>
        <s v="Akash Madhwal"/>
        <s v="Dewald Brevis"/>
        <s v="Ishan Kishan"/>
        <s v="Jasprit Bumrah"/>
        <s v="Jason Behrendorff (T)"/>
        <s v="Jofra Archer"/>
        <s v="Will Jacks"/>
        <s v="Reece Topley"/>
        <s v="Rajan Kumar"/>
        <s v="Avinash Singh"/>
        <s v="Manoj Bhandage"/>
        <s v="Sonu Yadav"/>
        <s v="Himanshu Sharma"/>
        <s v="Rajat Patidar"/>
        <s v="Mahipal Lomror"/>
        <s v="Shahbaz Ahamad"/>
        <s v="Mohammed Siraj"/>
        <s v="Wanindu Hasaranga"/>
        <s v="Karn Sharma"/>
        <s v="Virat Kohli"/>
        <s v="Suyash Prabhudessai"/>
        <s v="Siddharth Kaul"/>
        <s v="Finn Allen"/>
        <s v="David Willey"/>
        <s v="Anuj Rawat"/>
        <s v="Akash Deep"/>
        <s v="Dinesh Karthik"/>
        <s v="Faf Du Plessis"/>
        <s v="Harshal Patel"/>
        <s v="Glenn Maxwell"/>
        <s v="Josh Hazlewood"/>
        <s v="Jason Holder"/>
        <s v="Adam Zampa"/>
        <s v="Joe Root"/>
        <s v="Donovan Ferreira"/>
        <s v="K.M. Asif"/>
        <s v="Kunal Rathore"/>
        <s v="Abdul P A"/>
        <s v="Akash Vashisht"/>
        <s v="Murugan Ashwin"/>
        <s v="Sanju Samson"/>
        <s v="Riyan Parag"/>
        <s v="R. Ashwin"/>
        <s v="Shimron Hetmyer"/>
        <s v="Trent Boult"/>
        <s v="Prasidh Krishna"/>
        <s v="Yuzvendra Chahal"/>
        <s v="Yashasvi Jaiswal"/>
        <s v="K.C Cariappa"/>
        <s v="Dhruv Jurel"/>
        <s v="Devdutt Padikkal"/>
        <s v="Jos Buttler"/>
        <s v="Kuldeep Sen"/>
        <s v="Navdeep Saini"/>
        <s v="Kuldip Yadav"/>
        <s v="Obed Mccoy"/>
        <s v="Harry Brook"/>
        <s v="Mayank Agarwal"/>
        <s v="Heinrich Klaasen"/>
        <s v="Vivrant Sharma"/>
        <s v="Adil Rashid"/>
        <s v="Mayank Dagar"/>
        <s v="Akeal Hosein"/>
        <s v="Mayank Markande"/>
        <s v="Upendra Singh Yadav"/>
        <s v="Nitish Kumar Reddy"/>
        <s v="Samarth Vyas"/>
        <s v="Anmolpreet Singh"/>
        <s v="Sanvir Singh"/>
        <s v="Marco Jansen"/>
        <s v="Rahul Tripathi"/>
        <s v="Umran Malik"/>
        <s v="Washington Sundar"/>
        <s v="Kartik Tyagi"/>
        <s v="T. Natarajan"/>
        <s v="Fazalhaq Farooqi"/>
        <s v="Abdul Samad"/>
        <s v="Abhishek Sharma"/>
        <s v="Aiden Markram"/>
        <s v="Bhuvneshwar Kumar"/>
        <s v="Glenn Phillips"/>
        <s v="Tom Banton"/>
        <s v="Kusal Mendis"/>
        <s v="Chris Jordan"/>
        <s v="Adam Milne"/>
        <s v="Mujeeb Rahman"/>
        <s v="Tabraiz Shamsi"/>
        <s v="Shubham Khajuria"/>
        <s v="Rohan Kunnummal"/>
        <s v="Chethan L.R."/>
        <s v="Himmat Singh"/>
        <s v="Corbin Bosch"/>
        <s v="Priyam Garg"/>
        <s v="Saurabh Kumar"/>
        <s v="Shashank Singh"/>
        <s v="Mohammed Azharuddeen"/>
        <s v="Dinesh Bana"/>
        <s v="Abhimanyu Easwaran"/>
        <s v="Sumit Kumar"/>
        <s v="Lance Morris"/>
        <s v="Mujtaba Yousuf"/>
        <s v="Chintal Gandhi"/>
        <s v="Shreyas Gopal"/>
        <s v="S Midhun"/>
        <s v="Izharulhuq Naveed"/>
        <s v="Travis Head"/>
        <s v="Dawid Malan"/>
        <s v="Sherfane Rutherford"/>
        <s v="Paul Stirling"/>
        <s v="Rassie Van Der Dussen"/>
        <s v="Daryl Mitchell"/>
        <s v="Mohammad Nabi"/>
        <s v="Jimmy Neesham"/>
        <s v="Wayne Parnell"/>
        <s v="Dasun Shanaka"/>
        <s v="Taskin Ahmed"/>
        <s v="Dushmanta Chameera"/>
        <s v="Riley Meredith"/>
        <s v="Blessing Muzarabani"/>
        <s v="Sandeep Sharma"/>
        <s v="Johnson Charles"/>
        <s v="Andre Fletcher"/>
        <s v="Shai Hope"/>
        <s v="Tom Latham"/>
        <s v="Joshua Philippe"/>
        <s v="Lorcan Tucker"/>
        <s v="Shahbaz Nadeem"/>
        <s v="Ish Sodhi"/>
        <s v="Sachin Baby"/>
        <s v="Ashwin Hebbar"/>
        <s v="Pukhraj Mann"/>
        <s v="Akshat Raghuwanshi"/>
        <s v="Himanshu Rana"/>
        <s v="Shoun Roger"/>
        <s v="Virat Singh"/>
        <s v="Will Smeed"/>
        <s v="Apoorv Wankhade"/>
        <s v="Gerald Coetzee"/>
        <s v="Evan Jones"/>
        <s v="Abid Mushtaq"/>
        <s v="Suryansh Shedge"/>
        <s v="Jagadeesha Suchith"/>
        <s v="Ricky Bhui"/>
        <s v="Baba Indrajith"/>
        <s v="Sheldon Jackson"/>
        <s v="Aryan Juyal"/>
        <s v="Kirant Shinde"/>
        <s v="Luvnith Sisodia"/>
        <s v="Vishnu Solanki"/>
        <s v="Aniket Choudhary"/>
        <s v="Ravi Kumar"/>
        <s v="Sushant Mishra"/>
        <s v="Arzan Nagwaswalla"/>
        <s v="Ishan Porel"/>
        <s v="Akash Singh"/>
        <s v="Basil Thampi"/>
        <s v="Paul Van Meekeren"/>
        <s v="Vyshak Vijay Kumar"/>
        <s v="S.Ajith Ram"/>
        <s v="Satyajeet Bachhav"/>
        <s v="Tejas Baroka"/>
        <s v="Yuvraj Chudasama"/>
        <s v="Peter Hatzoglou"/>
        <s v="Karthik Meiyappan"/>
        <s v="Shivam Sharma"/>
        <s v="Reeza Hendricks"/>
        <s v="Christiaan Jonker"/>
        <s v="Brandon King"/>
        <s v="Chris Lynn"/>
        <s v="Karun Nair"/>
        <s v="Pathum Nissaanka"/>
        <s v="Jason Roy"/>
        <s v="Gurkeerat Singh"/>
        <s v="Harry Tector"/>
        <s v="Najibullah Zadran"/>
        <s v="Sean Abbott"/>
        <s v="Qais Ahmad"/>
        <s v="Charith Asalanka"/>
        <s v="Michael Bracewell"/>
        <s v="Dominic Drakes"/>
        <s v="George Garton"/>
        <s v="Chamika Karunaratne"/>
        <s v="Jamie Overton"/>
        <s v="Sandeep Warrier"/>
        <s v="Ben Dwarshuis"/>
        <s v="Richard Gleeson"/>
        <s v="Lahiru Kumara"/>
        <s v="Dilshan Madushanka"/>
        <s v="Billy Stanlake"/>
        <s v="Andrew Tye"/>
        <s v="Luke Wood"/>
        <s v="Priyansh Arya"/>
        <s v="Matthew Breetzke"/>
        <s v="Shivam Chauhan"/>
        <s v="Rahul Gahlaut"/>
        <s v="Sudip Gharami"/>
        <s v="C. Hari Nishaanth"/>
        <s v="Amandeep Khare"/>
        <s v="Bhanu Pania"/>
        <s v="Ekant Sen"/>
        <s v="Himanshu Bisht"/>
        <s v="Mickil Jaiswal"/>
        <s v="G.Aniketh Reddy"/>
        <s v="Atit Sheth"/>
        <s v="M. Siddharth"/>
        <s v="Tanay Thyagarajann"/>
        <s v="Sumeet Verma"/>
        <s v="Sanjay Yadav"/>
        <s v="Ajitesh Guruswamy"/>
        <s v="Yash Kothari"/>
        <s v="Suresh Kumar"/>
        <s v="Kumar Kushagra"/>
        <s v="Anmol Malhotra"/>
        <s v="Robin Minz"/>
        <s v="Agniv Pan"/>
        <s v="Priyesh Patel"/>
        <s v="Mitesh Patel"/>
        <s v="Abishek Porel"/>
        <s v="Bharat Sharma"/>
        <s v="Vivek Singh"/>
        <s v="Abhijeet Tomar"/>
        <s v="Basit Bashir"/>
        <s v="Nandre Burger"/>
        <s v="Rasikh Dar"/>
        <s v="Sakib Hussain"/>
        <s v="Waseem Khanday"/>
        <s v="Ravi Kiran Majeti"/>
        <s v="Lukman Hussain Meriwala"/>
        <s v="Anuj Raj"/>
        <s v="Ankit Singh Rajpoot"/>
        <s v="Prince Yadav"/>
        <s v="Prithviraj Yarra"/>
        <s v="Mushtaq Beg"/>
        <s v="Rocky Bhasker"/>
        <s v="Sanjith Devaraj"/>
        <s v="Allah Mohammad"/>
        <s v="Lalit Mohan"/>
        <s v="Bhuwan Rohilla"/>
        <s v="Aman Sharma"/>
        <s v="Manav Suthar"/>
        <s v="Tom Curran"/>
        <s v="Moises Henriques"/>
        <s v="Afif Hossain"/>
        <s v="Scott Kuggeleijn"/>
        <s v="Sisanda Magala"/>
        <s v="Craig Overton"/>
        <s v="Darcy Short"/>
        <s v="Dhananjaya Silva"/>
        <s v="Dunith Wellalage"/>
        <s v="Varun Aaron"/>
        <s v="Sheldon Cottrel"/>
        <s v="Nathan Coulter-Nile"/>
        <s v="Daryn Dupavillon"/>
        <s v="Matt Henry"/>
        <s v="Dhawal Kulkarni"/>
        <s v="Tymal Mills"/>
        <s v="David Payne"/>
        <s v="Barinder Sran"/>
        <s v="Glenton Stuurman"/>
        <s v="Anirudh Balachander"/>
        <s v="Gourav Choudhary"/>
        <s v="Saurav Chuahan"/>
        <s v="Kumar Deobrat"/>
        <s v="Chirag Gandhi"/>
        <s v="Arman Jaffer"/>
        <s v="Madhav Kaushik"/>
        <s v="Priyank Panchal"/>
        <s v="Ayush Pandey"/>
        <s v="Rohan Patil"/>
        <s v="Sanjay Ramaswamy"/>
        <s v="Siddharth Yadav"/>
        <s v="Rehan Ahmed"/>
        <s v="Prayas Barman"/>
        <s v="Rahul Buddhi"/>
        <s v="Vaisakh Chandran"/>
        <s v="Writtick Chatterjee"/>
        <s v="Prashant Chopra"/>
        <s v="Harsh Dubey"/>
        <s v="Tanush Kotian"/>
        <s v="Ninad Rathva"/>
        <s v="B. Surya"/>
        <s v="Jordan Thompson"/>
        <s v="Shivank Vashisth"/>
        <s v="Ankush Bains"/>
        <s v="Christopher Benjamin"/>
        <s v="Connor Esterhuizen"/>
        <s v="Mohd Arslan Khan"/>
        <s v="Mamidi Krishna"/>
        <s v="Fazil Makaya"/>
        <s v="Akshdeep Nath"/>
        <s v="Deepak Punia"/>
        <s v="Ateev Saini"/>
        <s v="Bipin Saurabh"/>
        <s v="B.R. Sharath"/>
        <s v="Yashovardhan Singh"/>
        <s v="Lakshay Thareja"/>
        <s v="Mohit Avasthi"/>
        <s v="Ottneil Baartman"/>
        <s v="Gurnoor Singh Brar"/>
        <s v="Shahrukh Dar"/>
        <s v="Thomas Helm"/>
        <s v="Pankaj Jaswal"/>
        <s v="Venkatesh Muralidhara"/>
        <s v="Geet Puri"/>
        <s v="E. Sanketh"/>
        <s v="Ajay Sarkar"/>
        <s v="Ashok Sharma"/>
        <s v="Kanwar Singh"/>
        <s v="Fabian Allen"/>
        <s v="Carlos Brathwaite"/>
        <s v="Roston Chase"/>
        <s v="Rahkeem Cornwall"/>
        <s v="Karim Janat"/>
        <s v="Keshav Maharaj"/>
        <s v="Pawan Negi"/>
        <s v="Keemo Paul"/>
        <s v="Shivam Chaudhary"/>
        <s v="Ashwin Das"/>
        <s v="James Fuller"/>
        <s v="Chirag Jani"/>
        <s v="Akshay Karnewar"/>
        <s v="Bhagmender Lather"/>
        <s v="Lone Muzaffar"/>
        <s v="Pulkit Narang"/>
        <s v="Rohit Rayudu"/>
        <s v="Sameer Rizvi"/>
        <s v="Tunish Sawkar"/>
        <s v="Auqib Dar"/>
        <s v="Mukhtar Hussain"/>
        <s v="Ashwani Kumar"/>
        <s v="Hemant Kumar"/>
        <s v="Nathan McAndrew"/>
        <s v="Rajesh Mohanty"/>
        <s v="Ravi Sharma"/>
        <s v="Vikash Singh"/>
        <s v="Ruben Trumpelmann"/>
        <s v="Koushik Vasuki"/>
        <s v="Vasu Vats"/>
        <s v="Shubham Agrawal"/>
        <s v="Baba Aparajith"/>
        <s v="Anshul Kamboj"/>
        <s v="Azim Kazi"/>
        <s v="Dev Lakra"/>
        <s v="Jitender Pal"/>
        <s v="Ritwik Roy Chowdhury"/>
        <s v="Utkarsh Singh"/>
        <s v="Shubham Singh"/>
        <s v="Avneesh Sudha"/>
        <s v="Asad Jamil Ahmed"/>
        <s v="Bandaru Ayyappa"/>
        <s v="Aashish Bhatt"/>
        <s v="McKenny Clarke"/>
        <s v="Shubham Kapse"/>
        <s v="Gourav Koul"/>
        <s v="Raunak Kumar"/>
        <s v="Trilok Nag"/>
        <s v="Atal Bihari Rai"/>
        <s v="Ramon Simmonds"/>
        <s v="Rajeev Singh"/>
        <s v="Mohd. Wasim"/>
        <s v="Atharva Ankolekar"/>
        <s v="Khizar Dafedar"/>
        <s v="Naman Dhir"/>
        <s v="Sahil Dhiwan"/>
        <s v="Sampark Gupta"/>
        <s v="Jordan Hermann"/>
        <s v="Hayden Kerr"/>
        <s v="Salman Khan"/>
        <s v="Sairaj Patil"/>
        <s v="Divyaansh Saxena"/>
        <s v="Purnank Tyagi"/>
        <s v="Deepraj Gaonkar"/>
        <s v="Shubham Garhwal"/>
        <s v="Benny Howell"/>
        <s v="Deepesh Nailwal"/>
        <s v="Arjun Rapria"/>
        <s v="Shashwat Rawat"/>
        <s v="Sumit Ruikar"/>
        <s v="Rajandeep Singh"/>
        <s v="Anunay Singh"/>
        <s v="Digvesh Singh"/>
        <s v="Pranshu Vijayran"/>
        <s v="Prerit Dutta"/>
        <s v="Ramakrishna Ghosh"/>
        <s v="Shubhang Hegde"/>
        <s v="Shamshuzama Kazi"/>
        <s v="Ayaz Khan"/>
        <s v="Amit Pachhara"/>
        <s v="Akul Pandove"/>
        <s v="Garv Sangwan"/>
        <s v="Shubham Sharma"/>
        <s v="Amit Yadav"/>
        <s v="Amit Ali"/>
        <s v="Rishabh Chauhan"/>
        <s v="Matthew Forde"/>
        <s v="Sammar Gajjar"/>
        <s v="Rajneesh Gurbani"/>
        <s v="Divyansh Joshi"/>
        <s v="Dhruv Patel"/>
        <s v="Jack Prestwidge"/>
        <s v="Aditya Sarvate"/>
        <s v="Sagar Solanki"/>
        <s v="Prenelan Subrayen"/>
      </sharedItems>
    </cacheField>
    <cacheField name="Base_Price" numFmtId="0">
      <sharedItems containsString="0" containsBlank="1" containsNumber="1" containsInteger="1" minValue="1500000" maxValue="20000000"/>
    </cacheField>
    <cacheField name="TYPE" numFmtId="0">
      <sharedItems count="4">
        <s v="BOWLER"/>
        <s v="BATSMAN"/>
        <s v="WICKETKEEPER"/>
        <s v="ALL-ROUNDER"/>
      </sharedItems>
    </cacheField>
    <cacheField name="Cost_INR_Cr" numFmtId="0">
      <sharedItems containsSemiMixedTypes="0" containsString="0" containsNumber="1" minValue="0" maxValue="18.5"/>
    </cacheField>
    <cacheField name="Cost_INR_Cr2" numFmtId="0">
      <sharedItems containsSemiMixedTypes="0" containsString="0" containsNumber="1" minValue="1" maxValue="19.5"/>
    </cacheField>
    <cacheField name="Prev_Team" numFmtId="0">
      <sharedItems containsBlank="1"/>
    </cacheField>
    <cacheField name="Team" numFmtId="0">
      <sharedItems count="11">
        <s v="Gujarat Titans"/>
        <s v="Chennai Super Kings"/>
        <s v="Delhi Capitals"/>
        <s v="Kolkata Knight Riders"/>
        <s v="Punjab Super Kings"/>
        <s v="Lucknow Super Giants"/>
        <s v="Mumbai Indians"/>
        <s v="Royal Challengers Banglore"/>
        <s v="Rajasthan Royals"/>
        <s v="Sunrisers Hyderabad"/>
        <s v="Unsold"/>
      </sharedItems>
    </cacheField>
    <cacheField name="Status" numFmtId="0">
      <sharedItems count="2">
        <s v="Sold"/>
        <s v="Unsold"/>
      </sharedItems>
    </cacheField>
    <cacheField name="Base_Price_Cr" numFmtId="0">
      <sharedItems containsString="0" containsBlank="1" containsNumber="1" minValue="0.15" maxValue="2"/>
    </cacheField>
  </cacheFields>
  <extLst>
    <ext xmlns:x14="http://schemas.microsoft.com/office/spreadsheetml/2009/9/main" uri="{725AE2AE-9491-48be-B2B4-4EB974FC3084}">
      <x14:pivotCacheDefinition pivotCacheId="44070409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68">
  <r>
    <x v="0"/>
    <n v="4000000"/>
    <x v="0"/>
    <n v="6"/>
    <n v="7"/>
    <s v="KKR"/>
    <x v="0"/>
    <x v="0"/>
    <n v="0.4"/>
  </r>
  <r>
    <x v="1"/>
    <n v="5000000"/>
    <x v="0"/>
    <n v="4.4000000000000004"/>
    <n v="5.4"/>
    <m/>
    <x v="0"/>
    <x v="0"/>
    <n v="0.5"/>
  </r>
  <r>
    <x v="2"/>
    <n v="20000000"/>
    <x v="1"/>
    <n v="2"/>
    <n v="3"/>
    <s v="SRH"/>
    <x v="0"/>
    <x v="0"/>
    <n v="2"/>
  </r>
  <r>
    <x v="3"/>
    <n v="2000000"/>
    <x v="2"/>
    <n v="1.2"/>
    <n v="2.2000000000000002"/>
    <s v="DC"/>
    <x v="0"/>
    <x v="0"/>
    <n v="0.2"/>
  </r>
  <r>
    <x v="4"/>
    <n v="5000000"/>
    <x v="0"/>
    <n v="0.5"/>
    <n v="1.5"/>
    <m/>
    <x v="0"/>
    <x v="0"/>
    <n v="0.5"/>
  </r>
  <r>
    <x v="5"/>
    <n v="5000000"/>
    <x v="3"/>
    <n v="0.5"/>
    <n v="1.5"/>
    <s v="PBKS"/>
    <x v="0"/>
    <x v="0"/>
    <n v="0.5"/>
  </r>
  <r>
    <x v="6"/>
    <n v="2000000"/>
    <x v="2"/>
    <n v="0.2"/>
    <n v="1.2"/>
    <m/>
    <x v="0"/>
    <x v="0"/>
    <n v="0.2"/>
  </r>
  <r>
    <x v="7"/>
    <m/>
    <x v="3"/>
    <n v="0"/>
    <n v="1"/>
    <s v="GT"/>
    <x v="0"/>
    <x v="0"/>
    <m/>
  </r>
  <r>
    <x v="8"/>
    <m/>
    <x v="3"/>
    <n v="0"/>
    <n v="1"/>
    <s v="GT"/>
    <x v="0"/>
    <x v="0"/>
    <m/>
  </r>
  <r>
    <x v="9"/>
    <m/>
    <x v="0"/>
    <n v="0"/>
    <n v="1"/>
    <s v="GT"/>
    <x v="0"/>
    <x v="0"/>
    <m/>
  </r>
  <r>
    <x v="10"/>
    <m/>
    <x v="0"/>
    <n v="0"/>
    <n v="1"/>
    <s v="GT"/>
    <x v="0"/>
    <x v="0"/>
    <m/>
  </r>
  <r>
    <x v="11"/>
    <m/>
    <x v="0"/>
    <n v="0"/>
    <n v="1"/>
    <s v="GT"/>
    <x v="0"/>
    <x v="0"/>
    <m/>
  </r>
  <r>
    <x v="12"/>
    <m/>
    <x v="0"/>
    <n v="0"/>
    <n v="1"/>
    <s v="GT"/>
    <x v="0"/>
    <x v="0"/>
    <m/>
  </r>
  <r>
    <x v="13"/>
    <m/>
    <x v="2"/>
    <n v="0"/>
    <n v="1"/>
    <s v="GT"/>
    <x v="0"/>
    <x v="0"/>
    <m/>
  </r>
  <r>
    <x v="14"/>
    <m/>
    <x v="3"/>
    <n v="0"/>
    <n v="1"/>
    <s v="GT"/>
    <x v="0"/>
    <x v="0"/>
    <m/>
  </r>
  <r>
    <x v="15"/>
    <m/>
    <x v="1"/>
    <n v="0"/>
    <n v="1"/>
    <s v="GT"/>
    <x v="0"/>
    <x v="0"/>
    <m/>
  </r>
  <r>
    <x v="16"/>
    <m/>
    <x v="3"/>
    <n v="0"/>
    <n v="1"/>
    <s v="GT"/>
    <x v="0"/>
    <x v="0"/>
    <m/>
  </r>
  <r>
    <x v="17"/>
    <m/>
    <x v="3"/>
    <n v="0"/>
    <n v="1"/>
    <s v="GT"/>
    <x v="0"/>
    <x v="0"/>
    <m/>
  </r>
  <r>
    <x v="18"/>
    <m/>
    <x v="0"/>
    <n v="0"/>
    <n v="1"/>
    <s v="GT"/>
    <x v="0"/>
    <x v="0"/>
    <m/>
  </r>
  <r>
    <x v="19"/>
    <m/>
    <x v="1"/>
    <n v="0"/>
    <n v="1"/>
    <s v="GT"/>
    <x v="0"/>
    <x v="0"/>
    <m/>
  </r>
  <r>
    <x v="20"/>
    <m/>
    <x v="3"/>
    <n v="0"/>
    <n v="1"/>
    <s v="GT"/>
    <x v="0"/>
    <x v="0"/>
    <m/>
  </r>
  <r>
    <x v="21"/>
    <m/>
    <x v="1"/>
    <n v="0"/>
    <n v="1"/>
    <s v="GT"/>
    <x v="0"/>
    <x v="0"/>
    <m/>
  </r>
  <r>
    <x v="22"/>
    <m/>
    <x v="2"/>
    <n v="0"/>
    <n v="1"/>
    <s v="GT"/>
    <x v="0"/>
    <x v="0"/>
    <m/>
  </r>
  <r>
    <x v="23"/>
    <m/>
    <x v="3"/>
    <n v="0"/>
    <n v="1"/>
    <s v="GT"/>
    <x v="0"/>
    <x v="0"/>
    <m/>
  </r>
  <r>
    <x v="24"/>
    <m/>
    <x v="0"/>
    <n v="0"/>
    <n v="1"/>
    <s v="GT"/>
    <x v="0"/>
    <x v="0"/>
    <m/>
  </r>
  <r>
    <x v="25"/>
    <n v="20000000"/>
    <x v="3"/>
    <n v="16.25"/>
    <n v="17.25"/>
    <m/>
    <x v="1"/>
    <x v="0"/>
    <n v="2"/>
  </r>
  <r>
    <x v="26"/>
    <n v="10000000"/>
    <x v="0"/>
    <n v="1"/>
    <n v="2"/>
    <m/>
    <x v="1"/>
    <x v="0"/>
    <n v="1"/>
  </r>
  <r>
    <x v="27"/>
    <n v="2000000"/>
    <x v="3"/>
    <n v="0.6"/>
    <n v="1.6"/>
    <m/>
    <x v="1"/>
    <x v="0"/>
    <n v="0.2"/>
  </r>
  <r>
    <x v="28"/>
    <n v="5000000"/>
    <x v="1"/>
    <n v="0.5"/>
    <n v="1.5"/>
    <s v="KKR"/>
    <x v="1"/>
    <x v="0"/>
    <n v="0.5"/>
  </r>
  <r>
    <x v="29"/>
    <n v="2000000"/>
    <x v="3"/>
    <n v="0.2"/>
    <n v="1.2"/>
    <s v="CSK"/>
    <x v="1"/>
    <x v="0"/>
    <n v="0.2"/>
  </r>
  <r>
    <x v="30"/>
    <n v="2000000"/>
    <x v="3"/>
    <n v="0.2"/>
    <n v="1.2"/>
    <m/>
    <x v="1"/>
    <x v="0"/>
    <n v="0.2"/>
  </r>
  <r>
    <x v="31"/>
    <n v="2000000"/>
    <x v="1"/>
    <n v="0.2"/>
    <n v="1.2"/>
    <m/>
    <x v="1"/>
    <x v="0"/>
    <n v="0.2"/>
  </r>
  <r>
    <x v="32"/>
    <m/>
    <x v="3"/>
    <n v="0"/>
    <n v="1"/>
    <s v="CSK"/>
    <x v="1"/>
    <x v="0"/>
    <m/>
  </r>
  <r>
    <x v="33"/>
    <m/>
    <x v="3"/>
    <n v="0"/>
    <n v="1"/>
    <s v="CSK"/>
    <x v="1"/>
    <x v="0"/>
    <m/>
  </r>
  <r>
    <x v="34"/>
    <m/>
    <x v="0"/>
    <n v="0"/>
    <n v="1"/>
    <s v="CSK"/>
    <x v="1"/>
    <x v="0"/>
    <m/>
  </r>
  <r>
    <x v="35"/>
    <m/>
    <x v="1"/>
    <n v="0"/>
    <n v="1"/>
    <s v="CSK"/>
    <x v="1"/>
    <x v="0"/>
    <m/>
  </r>
  <r>
    <x v="36"/>
    <m/>
    <x v="0"/>
    <n v="0"/>
    <n v="1"/>
    <s v="CSK"/>
    <x v="1"/>
    <x v="0"/>
    <m/>
  </r>
  <r>
    <x v="37"/>
    <m/>
    <x v="0"/>
    <n v="0"/>
    <n v="1"/>
    <s v="CSK"/>
    <x v="1"/>
    <x v="0"/>
    <m/>
  </r>
  <r>
    <x v="38"/>
    <m/>
    <x v="1"/>
    <n v="0"/>
    <n v="1"/>
    <s v="CSK"/>
    <x v="1"/>
    <x v="0"/>
    <m/>
  </r>
  <r>
    <x v="39"/>
    <m/>
    <x v="0"/>
    <n v="0"/>
    <n v="1"/>
    <s v="CSK"/>
    <x v="1"/>
    <x v="0"/>
    <m/>
  </r>
  <r>
    <x v="40"/>
    <m/>
    <x v="3"/>
    <n v="0"/>
    <n v="1"/>
    <s v="CSK"/>
    <x v="1"/>
    <x v="0"/>
    <m/>
  </r>
  <r>
    <x v="41"/>
    <m/>
    <x v="0"/>
    <n v="0"/>
    <n v="1"/>
    <s v="CSK"/>
    <x v="1"/>
    <x v="0"/>
    <m/>
  </r>
  <r>
    <x v="42"/>
    <m/>
    <x v="1"/>
    <n v="0"/>
    <n v="1"/>
    <s v="CSK"/>
    <x v="1"/>
    <x v="0"/>
    <m/>
  </r>
  <r>
    <x v="43"/>
    <m/>
    <x v="0"/>
    <n v="0"/>
    <n v="1"/>
    <s v="CSK"/>
    <x v="1"/>
    <x v="0"/>
    <m/>
  </r>
  <r>
    <x v="44"/>
    <m/>
    <x v="1"/>
    <n v="0"/>
    <n v="1"/>
    <s v="CSK"/>
    <x v="1"/>
    <x v="0"/>
    <m/>
  </r>
  <r>
    <x v="45"/>
    <m/>
    <x v="3"/>
    <n v="0"/>
    <n v="1"/>
    <s v="CSK"/>
    <x v="1"/>
    <x v="0"/>
    <m/>
  </r>
  <r>
    <x v="46"/>
    <m/>
    <x v="0"/>
    <n v="0"/>
    <n v="1"/>
    <s v="CSK"/>
    <x v="1"/>
    <x v="0"/>
    <m/>
  </r>
  <r>
    <x v="47"/>
    <m/>
    <x v="3"/>
    <n v="0"/>
    <n v="1"/>
    <s v="CSK"/>
    <x v="1"/>
    <x v="0"/>
    <m/>
  </r>
  <r>
    <x v="48"/>
    <m/>
    <x v="3"/>
    <n v="0"/>
    <n v="1"/>
    <s v="CSK"/>
    <x v="1"/>
    <x v="0"/>
    <m/>
  </r>
  <r>
    <x v="49"/>
    <m/>
    <x v="2"/>
    <n v="0"/>
    <n v="1"/>
    <s v="CSK"/>
    <x v="1"/>
    <x v="0"/>
    <m/>
  </r>
  <r>
    <x v="50"/>
    <n v="2000000"/>
    <x v="0"/>
    <n v="5.5"/>
    <n v="6.5"/>
    <m/>
    <x v="2"/>
    <x v="0"/>
    <n v="0.2"/>
  </r>
  <r>
    <x v="51"/>
    <n v="20000000"/>
    <x v="1"/>
    <n v="4.5999999999999996"/>
    <n v="5.6"/>
    <m/>
    <x v="2"/>
    <x v="0"/>
    <n v="2"/>
  </r>
  <r>
    <x v="52"/>
    <n v="10000000"/>
    <x v="1"/>
    <n v="2.4"/>
    <n v="3.4"/>
    <s v="LSG"/>
    <x v="2"/>
    <x v="0"/>
    <n v="1"/>
  </r>
  <r>
    <x v="53"/>
    <n v="20000000"/>
    <x v="2"/>
    <n v="2"/>
    <n v="3"/>
    <m/>
    <x v="2"/>
    <x v="0"/>
    <n v="2"/>
  </r>
  <r>
    <x v="54"/>
    <n v="5000000"/>
    <x v="0"/>
    <n v="0.5"/>
    <n v="1.5"/>
    <m/>
    <x v="2"/>
    <x v="0"/>
    <n v="0.5"/>
  </r>
  <r>
    <x v="55"/>
    <m/>
    <x v="3"/>
    <n v="0"/>
    <n v="1"/>
    <s v="DC"/>
    <x v="2"/>
    <x v="0"/>
    <m/>
  </r>
  <r>
    <x v="56"/>
    <m/>
    <x v="3"/>
    <n v="0"/>
    <n v="1"/>
    <s v="DC"/>
    <x v="2"/>
    <x v="0"/>
    <m/>
  </r>
  <r>
    <x v="57"/>
    <m/>
    <x v="2"/>
    <n v="0"/>
    <n v="1"/>
    <s v="DC"/>
    <x v="2"/>
    <x v="0"/>
    <m/>
  </r>
  <r>
    <x v="58"/>
    <m/>
    <x v="1"/>
    <n v="0"/>
    <n v="1"/>
    <s v="DC"/>
    <x v="2"/>
    <x v="0"/>
    <m/>
  </r>
  <r>
    <x v="59"/>
    <m/>
    <x v="0"/>
    <n v="0"/>
    <n v="1"/>
    <s v="DC"/>
    <x v="2"/>
    <x v="0"/>
    <m/>
  </r>
  <r>
    <x v="60"/>
    <m/>
    <x v="3"/>
    <n v="0"/>
    <n v="1"/>
    <s v="DC"/>
    <x v="2"/>
    <x v="0"/>
    <m/>
  </r>
  <r>
    <x v="61"/>
    <m/>
    <x v="3"/>
    <n v="0"/>
    <n v="1"/>
    <s v="DC"/>
    <x v="2"/>
    <x v="0"/>
    <m/>
  </r>
  <r>
    <x v="62"/>
    <m/>
    <x v="0"/>
    <n v="0"/>
    <n v="1"/>
    <s v="DC"/>
    <x v="2"/>
    <x v="0"/>
    <m/>
  </r>
  <r>
    <x v="63"/>
    <m/>
    <x v="3"/>
    <n v="0"/>
    <n v="1"/>
    <s v="DC"/>
    <x v="2"/>
    <x v="0"/>
    <m/>
  </r>
  <r>
    <x v="64"/>
    <m/>
    <x v="1"/>
    <n v="0"/>
    <n v="1"/>
    <s v="DC"/>
    <x v="2"/>
    <x v="0"/>
    <m/>
  </r>
  <r>
    <x v="65"/>
    <m/>
    <x v="3"/>
    <n v="0"/>
    <n v="1"/>
    <s v="DC"/>
    <x v="2"/>
    <x v="0"/>
    <m/>
  </r>
  <r>
    <x v="66"/>
    <m/>
    <x v="3"/>
    <n v="0"/>
    <n v="1"/>
    <s v="DC"/>
    <x v="2"/>
    <x v="0"/>
    <m/>
  </r>
  <r>
    <x v="67"/>
    <m/>
    <x v="0"/>
    <n v="0"/>
    <n v="1"/>
    <s v="DC"/>
    <x v="2"/>
    <x v="0"/>
    <m/>
  </r>
  <r>
    <x v="68"/>
    <m/>
    <x v="3"/>
    <n v="0"/>
    <n v="1"/>
    <s v="DC"/>
    <x v="2"/>
    <x v="0"/>
    <m/>
  </r>
  <r>
    <x v="69"/>
    <m/>
    <x v="0"/>
    <n v="0"/>
    <n v="1"/>
    <s v="DC"/>
    <x v="2"/>
    <x v="0"/>
    <m/>
  </r>
  <r>
    <x v="70"/>
    <m/>
    <x v="1"/>
    <n v="0"/>
    <n v="1"/>
    <s v="DC"/>
    <x v="2"/>
    <x v="0"/>
    <m/>
  </r>
  <r>
    <x v="71"/>
    <m/>
    <x v="0"/>
    <n v="0"/>
    <n v="1"/>
    <s v="DC"/>
    <x v="2"/>
    <x v="0"/>
    <m/>
  </r>
  <r>
    <x v="72"/>
    <m/>
    <x v="0"/>
    <n v="0"/>
    <n v="1"/>
    <s v="DC"/>
    <x v="2"/>
    <x v="0"/>
    <m/>
  </r>
  <r>
    <x v="73"/>
    <m/>
    <x v="3"/>
    <n v="0"/>
    <n v="1"/>
    <s v="DC"/>
    <x v="2"/>
    <x v="0"/>
    <m/>
  </r>
  <r>
    <x v="74"/>
    <m/>
    <x v="3"/>
    <n v="0"/>
    <n v="1"/>
    <s v="DC"/>
    <x v="2"/>
    <x v="0"/>
    <m/>
  </r>
  <r>
    <x v="75"/>
    <n v="1500000"/>
    <x v="3"/>
    <n v="1.5"/>
    <n v="2.5"/>
    <m/>
    <x v="3"/>
    <x v="0"/>
    <n v="0.15"/>
  </r>
  <r>
    <x v="76"/>
    <n v="10000000"/>
    <x v="3"/>
    <n v="1"/>
    <n v="2"/>
    <m/>
    <x v="3"/>
    <x v="0"/>
    <n v="1"/>
  </r>
  <r>
    <x v="77"/>
    <n v="2000000"/>
    <x v="2"/>
    <n v="0.9"/>
    <n v="1.9"/>
    <s v="CSK"/>
    <x v="3"/>
    <x v="0"/>
    <n v="0.2"/>
  </r>
  <r>
    <x v="78"/>
    <n v="2000000"/>
    <x v="0"/>
    <n v="0.6"/>
    <n v="1.6"/>
    <s v="PBKS"/>
    <x v="3"/>
    <x v="0"/>
    <n v="0.2"/>
  </r>
  <r>
    <x v="79"/>
    <n v="5000000"/>
    <x v="2"/>
    <n v="0.5"/>
    <n v="1.5"/>
    <m/>
    <x v="3"/>
    <x v="0"/>
    <n v="0.5"/>
  </r>
  <r>
    <x v="80"/>
    <n v="5000000"/>
    <x v="1"/>
    <n v="0.5"/>
    <n v="1.5"/>
    <s v="DC"/>
    <x v="3"/>
    <x v="0"/>
    <n v="0.5"/>
  </r>
  <r>
    <x v="81"/>
    <n v="2000000"/>
    <x v="0"/>
    <n v="0.2"/>
    <n v="1.2"/>
    <m/>
    <x v="3"/>
    <x v="0"/>
    <n v="0.2"/>
  </r>
  <r>
    <x v="82"/>
    <n v="2000000"/>
    <x v="0"/>
    <n v="0.2"/>
    <n v="1.2"/>
    <m/>
    <x v="3"/>
    <x v="0"/>
    <n v="0.2"/>
  </r>
  <r>
    <x v="83"/>
    <m/>
    <x v="0"/>
    <n v="0"/>
    <n v="1"/>
    <s v="KKR"/>
    <x v="3"/>
    <x v="0"/>
    <m/>
  </r>
  <r>
    <x v="84"/>
    <m/>
    <x v="1"/>
    <n v="0"/>
    <n v="1"/>
    <s v="KKR"/>
    <x v="3"/>
    <x v="0"/>
    <m/>
  </r>
  <r>
    <x v="85"/>
    <m/>
    <x v="0"/>
    <n v="0"/>
    <n v="1"/>
    <s v="KKR"/>
    <x v="3"/>
    <x v="0"/>
    <m/>
  </r>
  <r>
    <x v="86"/>
    <m/>
    <x v="0"/>
    <n v="0"/>
    <n v="1"/>
    <s v="KKR"/>
    <x v="3"/>
    <x v="0"/>
    <m/>
  </r>
  <r>
    <x v="87"/>
    <m/>
    <x v="0"/>
    <n v="0"/>
    <n v="1"/>
    <s v="KKR"/>
    <x v="3"/>
    <x v="0"/>
    <m/>
  </r>
  <r>
    <x v="88"/>
    <m/>
    <x v="0"/>
    <n v="0"/>
    <n v="1"/>
    <s v="KKR"/>
    <x v="3"/>
    <x v="0"/>
    <m/>
  </r>
  <r>
    <x v="89"/>
    <m/>
    <x v="3"/>
    <n v="0"/>
    <n v="1"/>
    <s v="KKR"/>
    <x v="3"/>
    <x v="0"/>
    <m/>
  </r>
  <r>
    <x v="90"/>
    <m/>
    <x v="0"/>
    <n v="0"/>
    <n v="1"/>
    <s v="KKR"/>
    <x v="3"/>
    <x v="0"/>
    <m/>
  </r>
  <r>
    <x v="91"/>
    <m/>
    <x v="3"/>
    <n v="0"/>
    <n v="1"/>
    <s v="KKR"/>
    <x v="3"/>
    <x v="0"/>
    <m/>
  </r>
  <r>
    <x v="92"/>
    <m/>
    <x v="3"/>
    <n v="0"/>
    <n v="1"/>
    <s v="KKR"/>
    <x v="3"/>
    <x v="0"/>
    <m/>
  </r>
  <r>
    <x v="93"/>
    <m/>
    <x v="0"/>
    <n v="0"/>
    <n v="1"/>
    <s v="KKR"/>
    <x v="3"/>
    <x v="0"/>
    <m/>
  </r>
  <r>
    <x v="94"/>
    <m/>
    <x v="3"/>
    <n v="0"/>
    <n v="1"/>
    <s v="KKR"/>
    <x v="3"/>
    <x v="0"/>
    <m/>
  </r>
  <r>
    <x v="95"/>
    <m/>
    <x v="2"/>
    <n v="0"/>
    <n v="1"/>
    <s v="KKR"/>
    <x v="3"/>
    <x v="0"/>
    <m/>
  </r>
  <r>
    <x v="96"/>
    <m/>
    <x v="1"/>
    <n v="0"/>
    <n v="1"/>
    <s v="KKR"/>
    <x v="3"/>
    <x v="0"/>
    <m/>
  </r>
  <r>
    <x v="97"/>
    <n v="20000000"/>
    <x v="3"/>
    <n v="18.5"/>
    <n v="19.5"/>
    <m/>
    <x v="4"/>
    <x v="0"/>
    <n v="2"/>
  </r>
  <r>
    <x v="98"/>
    <n v="5000000"/>
    <x v="3"/>
    <n v="0.5"/>
    <n v="1.5"/>
    <m/>
    <x v="4"/>
    <x v="0"/>
    <n v="0.5"/>
  </r>
  <r>
    <x v="99"/>
    <n v="2000000"/>
    <x v="1"/>
    <n v="0.4"/>
    <n v="1.4"/>
    <m/>
    <x v="4"/>
    <x v="0"/>
    <n v="0.2"/>
  </r>
  <r>
    <x v="100"/>
    <n v="2000000"/>
    <x v="3"/>
    <n v="0.2"/>
    <n v="1.2"/>
    <m/>
    <x v="4"/>
    <x v="0"/>
    <n v="0.2"/>
  </r>
  <r>
    <x v="101"/>
    <n v="2000000"/>
    <x v="0"/>
    <n v="0.2"/>
    <n v="1.2"/>
    <m/>
    <x v="4"/>
    <x v="0"/>
    <n v="0.2"/>
  </r>
  <r>
    <x v="102"/>
    <n v="5000000"/>
    <x v="2"/>
    <n v="0.2"/>
    <n v="1.2"/>
    <m/>
    <x v="4"/>
    <x v="0"/>
    <n v="0.5"/>
  </r>
  <r>
    <x v="103"/>
    <m/>
    <x v="3"/>
    <n v="0"/>
    <n v="1"/>
    <s v="PBKS"/>
    <x v="4"/>
    <x v="0"/>
    <m/>
  </r>
  <r>
    <x v="104"/>
    <m/>
    <x v="0"/>
    <n v="0"/>
    <n v="1"/>
    <s v="PBKS"/>
    <x v="4"/>
    <x v="0"/>
    <m/>
  </r>
  <r>
    <x v="105"/>
    <m/>
    <x v="3"/>
    <n v="0"/>
    <n v="1"/>
    <s v="PBKS"/>
    <x v="4"/>
    <x v="0"/>
    <m/>
  </r>
  <r>
    <x v="106"/>
    <m/>
    <x v="1"/>
    <n v="0"/>
    <n v="1"/>
    <s v="PBKS"/>
    <x v="4"/>
    <x v="0"/>
    <m/>
  </r>
  <r>
    <x v="107"/>
    <m/>
    <x v="2"/>
    <n v="0"/>
    <n v="1"/>
    <s v="PBKS"/>
    <x v="4"/>
    <x v="0"/>
    <m/>
  </r>
  <r>
    <x v="108"/>
    <m/>
    <x v="0"/>
    <n v="0"/>
    <n v="1"/>
    <s v="PBKS"/>
    <x v="4"/>
    <x v="0"/>
    <m/>
  </r>
  <r>
    <x v="109"/>
    <m/>
    <x v="2"/>
    <n v="0"/>
    <n v="1"/>
    <s v="PBKS"/>
    <x v="4"/>
    <x v="0"/>
    <m/>
  </r>
  <r>
    <x v="110"/>
    <m/>
    <x v="0"/>
    <n v="0"/>
    <n v="1"/>
    <s v="PBKS"/>
    <x v="4"/>
    <x v="0"/>
    <m/>
  </r>
  <r>
    <x v="111"/>
    <m/>
    <x v="3"/>
    <n v="0"/>
    <n v="1"/>
    <s v="PBKS"/>
    <x v="4"/>
    <x v="0"/>
    <m/>
  </r>
  <r>
    <x v="112"/>
    <m/>
    <x v="3"/>
    <n v="0"/>
    <n v="1"/>
    <s v="PBKS"/>
    <x v="4"/>
    <x v="0"/>
    <m/>
  </r>
  <r>
    <x v="113"/>
    <m/>
    <x v="1"/>
    <n v="0"/>
    <n v="1"/>
    <s v="PBKS"/>
    <x v="4"/>
    <x v="0"/>
    <m/>
  </r>
  <r>
    <x v="114"/>
    <m/>
    <x v="0"/>
    <n v="0"/>
    <n v="1"/>
    <s v="PBKS"/>
    <x v="4"/>
    <x v="0"/>
    <m/>
  </r>
  <r>
    <x v="115"/>
    <m/>
    <x v="0"/>
    <n v="0"/>
    <n v="1"/>
    <s v="PBKS"/>
    <x v="4"/>
    <x v="0"/>
    <m/>
  </r>
  <r>
    <x v="116"/>
    <m/>
    <x v="2"/>
    <n v="0"/>
    <n v="1"/>
    <s v="PBKS"/>
    <x v="4"/>
    <x v="0"/>
    <m/>
  </r>
  <r>
    <x v="117"/>
    <m/>
    <x v="3"/>
    <n v="0"/>
    <n v="1"/>
    <s v="PBKS"/>
    <x v="4"/>
    <x v="0"/>
    <m/>
  </r>
  <r>
    <x v="118"/>
    <m/>
    <x v="3"/>
    <n v="0"/>
    <n v="1"/>
    <s v="PBKS"/>
    <x v="4"/>
    <x v="0"/>
    <m/>
  </r>
  <r>
    <x v="119"/>
    <n v="20000000"/>
    <x v="2"/>
    <n v="16"/>
    <n v="17"/>
    <s v="SRH"/>
    <x v="5"/>
    <x v="0"/>
    <n v="2"/>
  </r>
  <r>
    <x v="120"/>
    <n v="7500000"/>
    <x v="3"/>
    <n v="0.75"/>
    <n v="1.75"/>
    <s v="MI"/>
    <x v="5"/>
    <x v="0"/>
    <n v="0.75"/>
  </r>
  <r>
    <x v="121"/>
    <n v="5000000"/>
    <x v="0"/>
    <n v="0.5"/>
    <n v="1.5"/>
    <s v="MI"/>
    <x v="5"/>
    <x v="0"/>
    <n v="0.5"/>
  </r>
  <r>
    <x v="122"/>
    <n v="5000000"/>
    <x v="0"/>
    <n v="0.5"/>
    <n v="1.5"/>
    <m/>
    <x v="5"/>
    <x v="0"/>
    <n v="0.5"/>
  </r>
  <r>
    <x v="123"/>
    <n v="5000000"/>
    <x v="0"/>
    <n v="0.5"/>
    <n v="1.5"/>
    <m/>
    <x v="5"/>
    <x v="0"/>
    <n v="0.5"/>
  </r>
  <r>
    <x v="124"/>
    <n v="5000000"/>
    <x v="3"/>
    <n v="0.5"/>
    <n v="1.5"/>
    <s v="SRH"/>
    <x v="5"/>
    <x v="0"/>
    <n v="0.5"/>
  </r>
  <r>
    <x v="125"/>
    <n v="2000000"/>
    <x v="0"/>
    <n v="0.45"/>
    <n v="1.45"/>
    <m/>
    <x v="5"/>
    <x v="0"/>
    <n v="0.2"/>
  </r>
  <r>
    <x v="126"/>
    <n v="2000000"/>
    <x v="3"/>
    <n v="0.2"/>
    <n v="1.2"/>
    <m/>
    <x v="5"/>
    <x v="0"/>
    <n v="0.2"/>
  </r>
  <r>
    <x v="127"/>
    <n v="2000000"/>
    <x v="3"/>
    <n v="0.2"/>
    <n v="1.2"/>
    <m/>
    <x v="5"/>
    <x v="0"/>
    <n v="0.2"/>
  </r>
  <r>
    <x v="128"/>
    <n v="2000000"/>
    <x v="3"/>
    <n v="0.2"/>
    <n v="1.2"/>
    <s v="PBKS"/>
    <x v="5"/>
    <x v="0"/>
    <n v="0.2"/>
  </r>
  <r>
    <x v="129"/>
    <m/>
    <x v="0"/>
    <n v="0"/>
    <n v="1"/>
    <s v="LSG"/>
    <x v="5"/>
    <x v="0"/>
    <m/>
  </r>
  <r>
    <x v="130"/>
    <m/>
    <x v="3"/>
    <n v="0"/>
    <n v="1"/>
    <s v="LSG"/>
    <x v="5"/>
    <x v="0"/>
    <m/>
  </r>
  <r>
    <x v="131"/>
    <m/>
    <x v="0"/>
    <n v="0"/>
    <n v="1"/>
    <s v="LSG"/>
    <x v="5"/>
    <x v="0"/>
    <m/>
  </r>
  <r>
    <x v="132"/>
    <m/>
    <x v="0"/>
    <n v="0"/>
    <n v="1"/>
    <s v="LSG"/>
    <x v="5"/>
    <x v="0"/>
    <m/>
  </r>
  <r>
    <x v="133"/>
    <m/>
    <x v="2"/>
    <n v="0"/>
    <n v="1"/>
    <s v="LSG"/>
    <x v="5"/>
    <x v="0"/>
    <m/>
  </r>
  <r>
    <x v="134"/>
    <m/>
    <x v="1"/>
    <n v="0"/>
    <n v="1"/>
    <s v="LSG"/>
    <x v="5"/>
    <x v="0"/>
    <m/>
  </r>
  <r>
    <x v="135"/>
    <m/>
    <x v="0"/>
    <n v="0"/>
    <n v="1"/>
    <s v="LSG"/>
    <x v="5"/>
    <x v="0"/>
    <m/>
  </r>
  <r>
    <x v="136"/>
    <m/>
    <x v="3"/>
    <n v="0"/>
    <n v="1"/>
    <s v="LSG"/>
    <x v="5"/>
    <x v="0"/>
    <m/>
  </r>
  <r>
    <x v="137"/>
    <m/>
    <x v="3"/>
    <n v="0"/>
    <n v="1"/>
    <s v="LSG"/>
    <x v="5"/>
    <x v="0"/>
    <m/>
  </r>
  <r>
    <x v="138"/>
    <m/>
    <x v="0"/>
    <n v="0"/>
    <n v="1"/>
    <s v="LSG"/>
    <x v="5"/>
    <x v="0"/>
    <m/>
  </r>
  <r>
    <x v="139"/>
    <m/>
    <x v="3"/>
    <n v="0"/>
    <n v="1"/>
    <s v="LSG"/>
    <x v="5"/>
    <x v="0"/>
    <m/>
  </r>
  <r>
    <x v="140"/>
    <m/>
    <x v="3"/>
    <n v="0"/>
    <n v="1"/>
    <s v="LSG"/>
    <x v="5"/>
    <x v="0"/>
    <m/>
  </r>
  <r>
    <x v="141"/>
    <m/>
    <x v="3"/>
    <n v="0"/>
    <n v="1"/>
    <s v="LSG"/>
    <x v="5"/>
    <x v="0"/>
    <m/>
  </r>
  <r>
    <x v="142"/>
    <m/>
    <x v="1"/>
    <n v="0"/>
    <n v="1"/>
    <s v="LSG"/>
    <x v="5"/>
    <x v="0"/>
    <m/>
  </r>
  <r>
    <x v="143"/>
    <m/>
    <x v="3"/>
    <n v="0"/>
    <n v="1"/>
    <s v="LSG"/>
    <x v="5"/>
    <x v="0"/>
    <m/>
  </r>
  <r>
    <x v="144"/>
    <n v="20000000"/>
    <x v="3"/>
    <n v="17.5"/>
    <n v="18.5"/>
    <m/>
    <x v="6"/>
    <x v="0"/>
    <n v="2"/>
  </r>
  <r>
    <x v="145"/>
    <n v="1500000"/>
    <x v="0"/>
    <n v="1.5"/>
    <n v="2.5"/>
    <m/>
    <x v="6"/>
    <x v="0"/>
    <n v="0.15"/>
  </r>
  <r>
    <x v="146"/>
    <n v="5000000"/>
    <x v="0"/>
    <n v="0.5"/>
    <n v="1.5"/>
    <m/>
    <x v="6"/>
    <x v="0"/>
    <n v="0.5"/>
  </r>
  <r>
    <x v="147"/>
    <n v="2000000"/>
    <x v="0"/>
    <n v="0.2"/>
    <n v="1.2"/>
    <m/>
    <x v="6"/>
    <x v="0"/>
    <n v="0.2"/>
  </r>
  <r>
    <x v="148"/>
    <n v="2000000"/>
    <x v="3"/>
    <n v="0.2"/>
    <n v="1.2"/>
    <m/>
    <x v="6"/>
    <x v="0"/>
    <n v="0.2"/>
  </r>
  <r>
    <x v="149"/>
    <n v="2000000"/>
    <x v="3"/>
    <n v="0.2"/>
    <n v="1.2"/>
    <m/>
    <x v="6"/>
    <x v="0"/>
    <n v="0.2"/>
  </r>
  <r>
    <x v="150"/>
    <n v="2000000"/>
    <x v="2"/>
    <n v="0.2"/>
    <n v="1.2"/>
    <s v="SRH"/>
    <x v="6"/>
    <x v="0"/>
    <n v="0.2"/>
  </r>
  <r>
    <x v="151"/>
    <n v="2000000"/>
    <x v="3"/>
    <n v="0.2"/>
    <n v="1.2"/>
    <m/>
    <x v="6"/>
    <x v="0"/>
    <n v="0.2"/>
  </r>
  <r>
    <x v="152"/>
    <m/>
    <x v="3"/>
    <n v="0"/>
    <n v="1"/>
    <s v="MI"/>
    <x v="6"/>
    <x v="0"/>
    <m/>
  </r>
  <r>
    <x v="153"/>
    <m/>
    <x v="3"/>
    <n v="0"/>
    <n v="1"/>
    <s v="MI"/>
    <x v="6"/>
    <x v="0"/>
    <m/>
  </r>
  <r>
    <x v="154"/>
    <m/>
    <x v="3"/>
    <n v="0"/>
    <n v="1"/>
    <s v="MI"/>
    <x v="6"/>
    <x v="0"/>
    <m/>
  </r>
  <r>
    <x v="155"/>
    <m/>
    <x v="1"/>
    <n v="0"/>
    <n v="1"/>
    <s v="MI"/>
    <x v="6"/>
    <x v="0"/>
    <m/>
  </r>
  <r>
    <x v="156"/>
    <m/>
    <x v="1"/>
    <n v="0"/>
    <n v="1"/>
    <s v="MI"/>
    <x v="6"/>
    <x v="0"/>
    <m/>
  </r>
  <r>
    <x v="157"/>
    <m/>
    <x v="3"/>
    <n v="0"/>
    <n v="1"/>
    <s v="MI"/>
    <x v="6"/>
    <x v="0"/>
    <m/>
  </r>
  <r>
    <x v="158"/>
    <m/>
    <x v="2"/>
    <n v="0"/>
    <n v="1"/>
    <s v="MI"/>
    <x v="6"/>
    <x v="0"/>
    <m/>
  </r>
  <r>
    <x v="159"/>
    <m/>
    <x v="3"/>
    <n v="0"/>
    <n v="1"/>
    <s v="MI"/>
    <x v="6"/>
    <x v="0"/>
    <m/>
  </r>
  <r>
    <x v="160"/>
    <m/>
    <x v="3"/>
    <n v="0"/>
    <n v="1"/>
    <s v="MI"/>
    <x v="6"/>
    <x v="0"/>
    <m/>
  </r>
  <r>
    <x v="161"/>
    <m/>
    <x v="3"/>
    <n v="0"/>
    <n v="1"/>
    <s v="MI"/>
    <x v="6"/>
    <x v="0"/>
    <m/>
  </r>
  <r>
    <x v="162"/>
    <m/>
    <x v="0"/>
    <n v="0"/>
    <n v="1"/>
    <s v="MI"/>
    <x v="6"/>
    <x v="0"/>
    <m/>
  </r>
  <r>
    <x v="163"/>
    <m/>
    <x v="1"/>
    <n v="0"/>
    <n v="1"/>
    <s v="MI"/>
    <x v="6"/>
    <x v="0"/>
    <m/>
  </r>
  <r>
    <x v="164"/>
    <m/>
    <x v="2"/>
    <n v="0"/>
    <n v="1"/>
    <s v="MI"/>
    <x v="6"/>
    <x v="0"/>
    <m/>
  </r>
  <r>
    <x v="165"/>
    <m/>
    <x v="0"/>
    <n v="0"/>
    <n v="1"/>
    <s v="MI"/>
    <x v="6"/>
    <x v="0"/>
    <m/>
  </r>
  <r>
    <x v="166"/>
    <m/>
    <x v="0"/>
    <n v="0"/>
    <n v="1"/>
    <s v="MI"/>
    <x v="6"/>
    <x v="0"/>
    <m/>
  </r>
  <r>
    <x v="167"/>
    <m/>
    <x v="3"/>
    <n v="0"/>
    <n v="1"/>
    <s v="MI"/>
    <x v="6"/>
    <x v="0"/>
    <m/>
  </r>
  <r>
    <x v="168"/>
    <n v="1500000"/>
    <x v="1"/>
    <n v="3.2"/>
    <n v="4.2"/>
    <m/>
    <x v="7"/>
    <x v="0"/>
    <n v="0.15"/>
  </r>
  <r>
    <x v="169"/>
    <n v="7500000"/>
    <x v="0"/>
    <n v="1.9"/>
    <n v="2.9"/>
    <m/>
    <x v="7"/>
    <x v="0"/>
    <n v="0.75"/>
  </r>
  <r>
    <x v="170"/>
    <n v="2000000"/>
    <x v="0"/>
    <n v="0.7"/>
    <n v="1.7"/>
    <m/>
    <x v="7"/>
    <x v="0"/>
    <n v="0.2"/>
  </r>
  <r>
    <x v="171"/>
    <n v="2000000"/>
    <x v="0"/>
    <n v="0.6"/>
    <n v="1.6"/>
    <m/>
    <x v="7"/>
    <x v="0"/>
    <n v="0.2"/>
  </r>
  <r>
    <x v="172"/>
    <n v="2000000"/>
    <x v="3"/>
    <n v="0.2"/>
    <n v="1.2"/>
    <m/>
    <x v="7"/>
    <x v="0"/>
    <n v="0.2"/>
  </r>
  <r>
    <x v="173"/>
    <n v="2000000"/>
    <x v="3"/>
    <n v="0.2"/>
    <n v="1.2"/>
    <m/>
    <x v="7"/>
    <x v="0"/>
    <n v="0.2"/>
  </r>
  <r>
    <x v="174"/>
    <n v="2000000"/>
    <x v="0"/>
    <n v="0.2"/>
    <n v="1.2"/>
    <m/>
    <x v="7"/>
    <x v="0"/>
    <n v="0.2"/>
  </r>
  <r>
    <x v="175"/>
    <m/>
    <x v="1"/>
    <n v="0"/>
    <n v="1"/>
    <s v="RCB"/>
    <x v="7"/>
    <x v="0"/>
    <m/>
  </r>
  <r>
    <x v="176"/>
    <m/>
    <x v="0"/>
    <n v="0"/>
    <n v="1"/>
    <s v="RCB"/>
    <x v="7"/>
    <x v="0"/>
    <m/>
  </r>
  <r>
    <x v="177"/>
    <m/>
    <x v="3"/>
    <n v="0"/>
    <n v="1"/>
    <s v="RCB"/>
    <x v="7"/>
    <x v="0"/>
    <m/>
  </r>
  <r>
    <x v="178"/>
    <m/>
    <x v="0"/>
    <n v="0"/>
    <n v="1"/>
    <s v="RCB"/>
    <x v="7"/>
    <x v="0"/>
    <m/>
  </r>
  <r>
    <x v="179"/>
    <m/>
    <x v="3"/>
    <n v="0"/>
    <n v="1"/>
    <s v="RCB"/>
    <x v="7"/>
    <x v="0"/>
    <m/>
  </r>
  <r>
    <x v="180"/>
    <m/>
    <x v="0"/>
    <n v="0"/>
    <n v="1"/>
    <s v="RCB"/>
    <x v="7"/>
    <x v="0"/>
    <m/>
  </r>
  <r>
    <x v="181"/>
    <m/>
    <x v="1"/>
    <n v="0"/>
    <n v="1"/>
    <s v="RCB"/>
    <x v="7"/>
    <x v="0"/>
    <m/>
  </r>
  <r>
    <x v="182"/>
    <m/>
    <x v="3"/>
    <n v="0"/>
    <n v="1"/>
    <s v="RCB"/>
    <x v="7"/>
    <x v="0"/>
    <m/>
  </r>
  <r>
    <x v="183"/>
    <m/>
    <x v="0"/>
    <n v="0"/>
    <n v="1"/>
    <s v="RCB"/>
    <x v="7"/>
    <x v="0"/>
    <m/>
  </r>
  <r>
    <x v="184"/>
    <m/>
    <x v="1"/>
    <n v="0"/>
    <n v="1"/>
    <s v="RCB"/>
    <x v="7"/>
    <x v="0"/>
    <m/>
  </r>
  <r>
    <x v="185"/>
    <m/>
    <x v="3"/>
    <n v="0"/>
    <n v="1"/>
    <s v="RCB"/>
    <x v="7"/>
    <x v="0"/>
    <m/>
  </r>
  <r>
    <x v="186"/>
    <m/>
    <x v="2"/>
    <n v="0"/>
    <n v="1"/>
    <s v="RCB"/>
    <x v="7"/>
    <x v="0"/>
    <m/>
  </r>
  <r>
    <x v="187"/>
    <m/>
    <x v="0"/>
    <n v="0"/>
    <n v="1"/>
    <s v="RCB"/>
    <x v="7"/>
    <x v="0"/>
    <m/>
  </r>
  <r>
    <x v="188"/>
    <m/>
    <x v="2"/>
    <n v="0"/>
    <n v="1"/>
    <s v="RCB"/>
    <x v="7"/>
    <x v="0"/>
    <m/>
  </r>
  <r>
    <x v="189"/>
    <m/>
    <x v="1"/>
    <n v="0"/>
    <n v="1"/>
    <s v="RCB"/>
    <x v="7"/>
    <x v="0"/>
    <m/>
  </r>
  <r>
    <x v="190"/>
    <m/>
    <x v="3"/>
    <n v="0"/>
    <n v="1"/>
    <s v="RCB"/>
    <x v="7"/>
    <x v="0"/>
    <m/>
  </r>
  <r>
    <x v="191"/>
    <m/>
    <x v="3"/>
    <n v="0"/>
    <n v="1"/>
    <s v="RCB"/>
    <x v="7"/>
    <x v="0"/>
    <m/>
  </r>
  <r>
    <x v="192"/>
    <m/>
    <x v="0"/>
    <n v="0"/>
    <n v="1"/>
    <s v="RCB"/>
    <x v="7"/>
    <x v="0"/>
    <m/>
  </r>
  <r>
    <x v="193"/>
    <n v="20000000"/>
    <x v="3"/>
    <n v="5.75"/>
    <n v="6.75"/>
    <s v="LSG"/>
    <x v="8"/>
    <x v="0"/>
    <n v="2"/>
  </r>
  <r>
    <x v="194"/>
    <n v="1500000"/>
    <x v="0"/>
    <n v="1.5"/>
    <n v="2.5"/>
    <m/>
    <x v="8"/>
    <x v="0"/>
    <n v="0.15"/>
  </r>
  <r>
    <x v="195"/>
    <n v="10000000"/>
    <x v="1"/>
    <n v="1"/>
    <n v="2"/>
    <m/>
    <x v="8"/>
    <x v="0"/>
    <n v="1"/>
  </r>
  <r>
    <x v="196"/>
    <n v="2000000"/>
    <x v="2"/>
    <n v="0.5"/>
    <n v="1.5"/>
    <m/>
    <x v="8"/>
    <x v="0"/>
    <n v="0.2"/>
  </r>
  <r>
    <x v="197"/>
    <n v="3000000"/>
    <x v="0"/>
    <n v="0.3"/>
    <n v="1.3"/>
    <s v="CSK"/>
    <x v="8"/>
    <x v="0"/>
    <n v="0.3"/>
  </r>
  <r>
    <x v="198"/>
    <n v="2000000"/>
    <x v="2"/>
    <n v="0.2"/>
    <n v="1.2"/>
    <m/>
    <x v="8"/>
    <x v="0"/>
    <n v="0.2"/>
  </r>
  <r>
    <x v="199"/>
    <n v="2000000"/>
    <x v="3"/>
    <n v="0.2"/>
    <n v="1.2"/>
    <m/>
    <x v="8"/>
    <x v="0"/>
    <n v="0.2"/>
  </r>
  <r>
    <x v="200"/>
    <n v="2000000"/>
    <x v="3"/>
    <n v="0.2"/>
    <n v="1.2"/>
    <m/>
    <x v="8"/>
    <x v="0"/>
    <n v="0.2"/>
  </r>
  <r>
    <x v="201"/>
    <n v="2000000"/>
    <x v="0"/>
    <n v="0.2"/>
    <n v="1.2"/>
    <s v="MI"/>
    <x v="8"/>
    <x v="0"/>
    <n v="0.2"/>
  </r>
  <r>
    <x v="202"/>
    <m/>
    <x v="2"/>
    <n v="0"/>
    <n v="1"/>
    <s v="RR"/>
    <x v="8"/>
    <x v="0"/>
    <m/>
  </r>
  <r>
    <x v="203"/>
    <m/>
    <x v="3"/>
    <n v="0"/>
    <n v="1"/>
    <s v="RR"/>
    <x v="8"/>
    <x v="0"/>
    <m/>
  </r>
  <r>
    <x v="204"/>
    <m/>
    <x v="3"/>
    <n v="0"/>
    <n v="1"/>
    <s v="RR"/>
    <x v="8"/>
    <x v="0"/>
    <m/>
  </r>
  <r>
    <x v="205"/>
    <m/>
    <x v="1"/>
    <n v="0"/>
    <n v="1"/>
    <s v="RR"/>
    <x v="8"/>
    <x v="0"/>
    <m/>
  </r>
  <r>
    <x v="206"/>
    <m/>
    <x v="0"/>
    <n v="0"/>
    <n v="1"/>
    <s v="RR"/>
    <x v="8"/>
    <x v="0"/>
    <m/>
  </r>
  <r>
    <x v="207"/>
    <m/>
    <x v="0"/>
    <n v="0"/>
    <n v="1"/>
    <s v="RR"/>
    <x v="8"/>
    <x v="0"/>
    <m/>
  </r>
  <r>
    <x v="208"/>
    <m/>
    <x v="0"/>
    <n v="0"/>
    <n v="1"/>
    <s v="RR"/>
    <x v="8"/>
    <x v="0"/>
    <m/>
  </r>
  <r>
    <x v="209"/>
    <m/>
    <x v="1"/>
    <n v="0"/>
    <n v="1"/>
    <s v="RR"/>
    <x v="8"/>
    <x v="0"/>
    <m/>
  </r>
  <r>
    <x v="210"/>
    <m/>
    <x v="0"/>
    <n v="0"/>
    <n v="1"/>
    <s v="RR"/>
    <x v="8"/>
    <x v="0"/>
    <m/>
  </r>
  <r>
    <x v="211"/>
    <m/>
    <x v="2"/>
    <n v="0"/>
    <n v="1"/>
    <s v="RR"/>
    <x v="8"/>
    <x v="0"/>
    <m/>
  </r>
  <r>
    <x v="212"/>
    <m/>
    <x v="1"/>
    <n v="0"/>
    <n v="1"/>
    <s v="RR"/>
    <x v="8"/>
    <x v="0"/>
    <m/>
  </r>
  <r>
    <x v="213"/>
    <m/>
    <x v="2"/>
    <n v="0"/>
    <n v="1"/>
    <s v="RR"/>
    <x v="8"/>
    <x v="0"/>
    <m/>
  </r>
  <r>
    <x v="214"/>
    <m/>
    <x v="0"/>
    <n v="0"/>
    <n v="1"/>
    <s v="RR"/>
    <x v="8"/>
    <x v="0"/>
    <m/>
  </r>
  <r>
    <x v="215"/>
    <m/>
    <x v="0"/>
    <n v="0"/>
    <n v="1"/>
    <s v="RR"/>
    <x v="8"/>
    <x v="0"/>
    <m/>
  </r>
  <r>
    <x v="216"/>
    <m/>
    <x v="0"/>
    <n v="0"/>
    <n v="1"/>
    <s v="RR"/>
    <x v="8"/>
    <x v="0"/>
    <m/>
  </r>
  <r>
    <x v="217"/>
    <m/>
    <x v="0"/>
    <n v="0"/>
    <n v="1"/>
    <s v="RR"/>
    <x v="8"/>
    <x v="0"/>
    <m/>
  </r>
  <r>
    <x v="218"/>
    <n v="15000000"/>
    <x v="1"/>
    <n v="13.25"/>
    <n v="14.25"/>
    <m/>
    <x v="9"/>
    <x v="0"/>
    <n v="1.5"/>
  </r>
  <r>
    <x v="219"/>
    <n v="10000000"/>
    <x v="1"/>
    <n v="8.25"/>
    <n v="9.25"/>
    <s v="PBKS"/>
    <x v="9"/>
    <x v="0"/>
    <n v="1"/>
  </r>
  <r>
    <x v="220"/>
    <n v="10000000"/>
    <x v="2"/>
    <n v="5.25"/>
    <n v="6.25"/>
    <m/>
    <x v="9"/>
    <x v="0"/>
    <n v="1"/>
  </r>
  <r>
    <x v="221"/>
    <n v="2000000"/>
    <x v="3"/>
    <n v="2.6"/>
    <n v="3.6"/>
    <m/>
    <x v="9"/>
    <x v="0"/>
    <n v="0.2"/>
  </r>
  <r>
    <x v="222"/>
    <n v="20000000"/>
    <x v="0"/>
    <n v="2"/>
    <n v="3"/>
    <m/>
    <x v="9"/>
    <x v="0"/>
    <n v="2"/>
  </r>
  <r>
    <x v="223"/>
    <n v="2000000"/>
    <x v="3"/>
    <n v="1.8"/>
    <n v="2.8"/>
    <m/>
    <x v="9"/>
    <x v="0"/>
    <n v="0.2"/>
  </r>
  <r>
    <x v="224"/>
    <n v="10000000"/>
    <x v="0"/>
    <n v="1"/>
    <n v="2"/>
    <m/>
    <x v="9"/>
    <x v="0"/>
    <n v="1"/>
  </r>
  <r>
    <x v="225"/>
    <n v="5000000"/>
    <x v="0"/>
    <n v="0.5"/>
    <n v="1.5"/>
    <s v="MI"/>
    <x v="9"/>
    <x v="0"/>
    <n v="0.5"/>
  </r>
  <r>
    <x v="226"/>
    <n v="2000000"/>
    <x v="2"/>
    <n v="0.25"/>
    <n v="1.25"/>
    <m/>
    <x v="9"/>
    <x v="0"/>
    <n v="0.2"/>
  </r>
  <r>
    <x v="227"/>
    <n v="2000000"/>
    <x v="2"/>
    <n v="0.2"/>
    <n v="1.2"/>
    <m/>
    <x v="9"/>
    <x v="0"/>
    <n v="0.2"/>
  </r>
  <r>
    <x v="228"/>
    <n v="2000000"/>
    <x v="3"/>
    <n v="0.2"/>
    <n v="1.2"/>
    <m/>
    <x v="9"/>
    <x v="0"/>
    <n v="0.2"/>
  </r>
  <r>
    <x v="229"/>
    <n v="2000000"/>
    <x v="1"/>
    <n v="0.2"/>
    <n v="1.2"/>
    <s v="MI"/>
    <x v="9"/>
    <x v="0"/>
    <n v="0.2"/>
  </r>
  <r>
    <x v="230"/>
    <n v="2000000"/>
    <x v="3"/>
    <n v="0.2"/>
    <n v="1.2"/>
    <m/>
    <x v="9"/>
    <x v="0"/>
    <n v="0.2"/>
  </r>
  <r>
    <x v="231"/>
    <m/>
    <x v="3"/>
    <n v="0"/>
    <n v="1"/>
    <s v="SRH"/>
    <x v="9"/>
    <x v="0"/>
    <m/>
  </r>
  <r>
    <x v="232"/>
    <m/>
    <x v="1"/>
    <n v="0"/>
    <n v="1"/>
    <s v="SRH"/>
    <x v="9"/>
    <x v="0"/>
    <m/>
  </r>
  <r>
    <x v="233"/>
    <m/>
    <x v="0"/>
    <n v="0"/>
    <n v="1"/>
    <s v="SRH"/>
    <x v="9"/>
    <x v="0"/>
    <m/>
  </r>
  <r>
    <x v="234"/>
    <m/>
    <x v="3"/>
    <n v="0"/>
    <n v="1"/>
    <s v="SRH"/>
    <x v="9"/>
    <x v="0"/>
    <m/>
  </r>
  <r>
    <x v="235"/>
    <m/>
    <x v="0"/>
    <n v="0"/>
    <n v="1"/>
    <s v="SRH"/>
    <x v="9"/>
    <x v="0"/>
    <m/>
  </r>
  <r>
    <x v="236"/>
    <m/>
    <x v="0"/>
    <n v="0"/>
    <n v="1"/>
    <s v="SRH"/>
    <x v="9"/>
    <x v="0"/>
    <m/>
  </r>
  <r>
    <x v="237"/>
    <m/>
    <x v="0"/>
    <n v="0"/>
    <n v="1"/>
    <s v="SRH"/>
    <x v="9"/>
    <x v="0"/>
    <m/>
  </r>
  <r>
    <x v="238"/>
    <m/>
    <x v="1"/>
    <n v="0"/>
    <n v="1"/>
    <s v="SRH"/>
    <x v="9"/>
    <x v="0"/>
    <m/>
  </r>
  <r>
    <x v="239"/>
    <m/>
    <x v="3"/>
    <n v="0"/>
    <n v="1"/>
    <s v="SRH"/>
    <x v="9"/>
    <x v="0"/>
    <m/>
  </r>
  <r>
    <x v="240"/>
    <m/>
    <x v="1"/>
    <n v="0"/>
    <n v="1"/>
    <s v="SRH"/>
    <x v="9"/>
    <x v="0"/>
    <m/>
  </r>
  <r>
    <x v="241"/>
    <m/>
    <x v="0"/>
    <n v="0"/>
    <n v="1"/>
    <s v="SRH"/>
    <x v="9"/>
    <x v="0"/>
    <m/>
  </r>
  <r>
    <x v="242"/>
    <m/>
    <x v="2"/>
    <n v="0"/>
    <n v="1"/>
    <s v="SRH"/>
    <x v="9"/>
    <x v="0"/>
    <m/>
  </r>
  <r>
    <x v="243"/>
    <n v="20000000"/>
    <x v="2"/>
    <n v="0"/>
    <n v="1"/>
    <m/>
    <x v="10"/>
    <x v="1"/>
    <n v="2"/>
  </r>
  <r>
    <x v="244"/>
    <n v="5000000"/>
    <x v="2"/>
    <n v="0"/>
    <n v="1"/>
    <m/>
    <x v="10"/>
    <x v="1"/>
    <n v="0.5"/>
  </r>
  <r>
    <x v="245"/>
    <n v="20000000"/>
    <x v="0"/>
    <n v="0"/>
    <n v="1"/>
    <s v="CSK"/>
    <x v="10"/>
    <x v="1"/>
    <n v="2"/>
  </r>
  <r>
    <x v="246"/>
    <n v="20000000"/>
    <x v="0"/>
    <n v="0"/>
    <n v="1"/>
    <s v="CSK"/>
    <x v="10"/>
    <x v="1"/>
    <n v="2"/>
  </r>
  <r>
    <x v="247"/>
    <n v="10000000"/>
    <x v="0"/>
    <n v="0"/>
    <n v="1"/>
    <m/>
    <x v="10"/>
    <x v="1"/>
    <n v="1"/>
  </r>
  <r>
    <x v="248"/>
    <n v="10000000"/>
    <x v="0"/>
    <n v="0"/>
    <n v="1"/>
    <m/>
    <x v="10"/>
    <x v="1"/>
    <n v="1"/>
  </r>
  <r>
    <x v="249"/>
    <n v="2000000"/>
    <x v="1"/>
    <n v="0"/>
    <n v="1"/>
    <m/>
    <x v="10"/>
    <x v="1"/>
    <n v="0.2"/>
  </r>
  <r>
    <x v="250"/>
    <n v="2000000"/>
    <x v="1"/>
    <n v="0"/>
    <n v="1"/>
    <m/>
    <x v="10"/>
    <x v="1"/>
    <n v="0.2"/>
  </r>
  <r>
    <x v="251"/>
    <n v="2000000"/>
    <x v="1"/>
    <n v="0"/>
    <n v="1"/>
    <m/>
    <x v="10"/>
    <x v="1"/>
    <n v="0.2"/>
  </r>
  <r>
    <x v="252"/>
    <n v="2000000"/>
    <x v="1"/>
    <n v="0"/>
    <n v="1"/>
    <m/>
    <x v="10"/>
    <x v="1"/>
    <n v="0.2"/>
  </r>
  <r>
    <x v="253"/>
    <n v="2000000"/>
    <x v="3"/>
    <n v="0"/>
    <n v="1"/>
    <s v="RR"/>
    <x v="10"/>
    <x v="1"/>
    <n v="0.2"/>
  </r>
  <r>
    <x v="254"/>
    <n v="2000000"/>
    <x v="3"/>
    <n v="0"/>
    <n v="1"/>
    <s v="SRH"/>
    <x v="10"/>
    <x v="1"/>
    <n v="0.2"/>
  </r>
  <r>
    <x v="255"/>
    <n v="2000000"/>
    <x v="3"/>
    <n v="0"/>
    <n v="1"/>
    <m/>
    <x v="10"/>
    <x v="1"/>
    <n v="0.2"/>
  </r>
  <r>
    <x v="256"/>
    <n v="2000000"/>
    <x v="3"/>
    <n v="0"/>
    <n v="1"/>
    <s v="SRH"/>
    <x v="10"/>
    <x v="1"/>
    <n v="0.2"/>
  </r>
  <r>
    <x v="257"/>
    <n v="2000000"/>
    <x v="2"/>
    <n v="0"/>
    <n v="1"/>
    <m/>
    <x v="10"/>
    <x v="1"/>
    <n v="0.2"/>
  </r>
  <r>
    <x v="258"/>
    <n v="2000000"/>
    <x v="2"/>
    <n v="0"/>
    <n v="1"/>
    <m/>
    <x v="10"/>
    <x v="1"/>
    <n v="0.2"/>
  </r>
  <r>
    <x v="259"/>
    <n v="2000000"/>
    <x v="2"/>
    <n v="0"/>
    <n v="1"/>
    <m/>
    <x v="10"/>
    <x v="1"/>
    <n v="0.2"/>
  </r>
  <r>
    <x v="260"/>
    <n v="2000000"/>
    <x v="2"/>
    <n v="0"/>
    <n v="1"/>
    <m/>
    <x v="10"/>
    <x v="1"/>
    <n v="0.2"/>
  </r>
  <r>
    <x v="261"/>
    <n v="3000000"/>
    <x v="0"/>
    <n v="0"/>
    <n v="1"/>
    <m/>
    <x v="10"/>
    <x v="1"/>
    <n v="0.3"/>
  </r>
  <r>
    <x v="262"/>
    <n v="2000000"/>
    <x v="0"/>
    <n v="0"/>
    <n v="1"/>
    <m/>
    <x v="10"/>
    <x v="1"/>
    <n v="0.2"/>
  </r>
  <r>
    <x v="263"/>
    <n v="2000000"/>
    <x v="0"/>
    <n v="0"/>
    <n v="1"/>
    <m/>
    <x v="10"/>
    <x v="1"/>
    <n v="0.2"/>
  </r>
  <r>
    <x v="264"/>
    <n v="2000000"/>
    <x v="0"/>
    <n v="0"/>
    <n v="1"/>
    <s v="SRH"/>
    <x v="10"/>
    <x v="1"/>
    <n v="0.2"/>
  </r>
  <r>
    <x v="265"/>
    <n v="2000000"/>
    <x v="0"/>
    <n v="0"/>
    <n v="1"/>
    <m/>
    <x v="10"/>
    <x v="1"/>
    <n v="0.2"/>
  </r>
  <r>
    <x v="266"/>
    <n v="2000000"/>
    <x v="0"/>
    <n v="0"/>
    <n v="1"/>
    <m/>
    <x v="10"/>
    <x v="1"/>
    <n v="0.2"/>
  </r>
  <r>
    <x v="267"/>
    <n v="20000000"/>
    <x v="1"/>
    <n v="0"/>
    <n v="1"/>
    <m/>
    <x v="10"/>
    <x v="1"/>
    <n v="2"/>
  </r>
  <r>
    <x v="268"/>
    <n v="1500000"/>
    <x v="1"/>
    <n v="0"/>
    <n v="1"/>
    <m/>
    <x v="10"/>
    <x v="1"/>
    <n v="0.15"/>
  </r>
  <r>
    <x v="269"/>
    <n v="1500000"/>
    <x v="1"/>
    <n v="0"/>
    <n v="1"/>
    <s v="RCB"/>
    <x v="10"/>
    <x v="1"/>
    <n v="0.15"/>
  </r>
  <r>
    <x v="270"/>
    <n v="5000000"/>
    <x v="1"/>
    <n v="0"/>
    <n v="1"/>
    <m/>
    <x v="10"/>
    <x v="1"/>
    <n v="0.5"/>
  </r>
  <r>
    <x v="271"/>
    <n v="20000000"/>
    <x v="1"/>
    <n v="0"/>
    <n v="1"/>
    <s v="RR"/>
    <x v="10"/>
    <x v="1"/>
    <n v="2"/>
  </r>
  <r>
    <x v="272"/>
    <n v="10000000"/>
    <x v="3"/>
    <n v="0"/>
    <n v="1"/>
    <s v="RR"/>
    <x v="10"/>
    <x v="1"/>
    <n v="1"/>
  </r>
  <r>
    <x v="273"/>
    <n v="10000000"/>
    <x v="3"/>
    <n v="0"/>
    <n v="1"/>
    <s v="KKR"/>
    <x v="10"/>
    <x v="1"/>
    <n v="1"/>
  </r>
  <r>
    <x v="274"/>
    <n v="20000000"/>
    <x v="3"/>
    <n v="0"/>
    <n v="1"/>
    <s v="RR"/>
    <x v="10"/>
    <x v="1"/>
    <n v="2"/>
  </r>
  <r>
    <x v="275"/>
    <n v="7500000"/>
    <x v="3"/>
    <n v="0"/>
    <n v="1"/>
    <m/>
    <x v="10"/>
    <x v="1"/>
    <n v="0.75"/>
  </r>
  <r>
    <x v="276"/>
    <n v="5000000"/>
    <x v="3"/>
    <n v="0"/>
    <n v="1"/>
    <m/>
    <x v="10"/>
    <x v="1"/>
    <n v="0.5"/>
  </r>
  <r>
    <x v="277"/>
    <n v="5000000"/>
    <x v="0"/>
    <n v="0"/>
    <n v="1"/>
    <m/>
    <x v="10"/>
    <x v="1"/>
    <n v="0.5"/>
  </r>
  <r>
    <x v="278"/>
    <n v="5000000"/>
    <x v="0"/>
    <n v="0"/>
    <n v="1"/>
    <s v="LSG"/>
    <x v="10"/>
    <x v="1"/>
    <n v="0.5"/>
  </r>
  <r>
    <x v="279"/>
    <n v="1500000"/>
    <x v="0"/>
    <n v="0"/>
    <n v="1"/>
    <s v="MI"/>
    <x v="10"/>
    <x v="1"/>
    <n v="0.15"/>
  </r>
  <r>
    <x v="280"/>
    <n v="5000000"/>
    <x v="0"/>
    <n v="0"/>
    <n v="1"/>
    <m/>
    <x v="10"/>
    <x v="1"/>
    <n v="0.5"/>
  </r>
  <r>
    <x v="281"/>
    <n v="5000000"/>
    <x v="0"/>
    <n v="0"/>
    <n v="1"/>
    <s v="PBKS"/>
    <x v="10"/>
    <x v="1"/>
    <n v="0.5"/>
  </r>
  <r>
    <x v="282"/>
    <n v="5000000"/>
    <x v="2"/>
    <n v="0"/>
    <n v="1"/>
    <m/>
    <x v="10"/>
    <x v="1"/>
    <n v="0.5"/>
  </r>
  <r>
    <x v="283"/>
    <n v="5000000"/>
    <x v="2"/>
    <n v="0"/>
    <n v="1"/>
    <m/>
    <x v="10"/>
    <x v="1"/>
    <n v="0.5"/>
  </r>
  <r>
    <x v="284"/>
    <n v="10000000"/>
    <x v="2"/>
    <n v="0"/>
    <n v="1"/>
    <m/>
    <x v="10"/>
    <x v="1"/>
    <n v="1"/>
  </r>
  <r>
    <x v="285"/>
    <n v="10000000"/>
    <x v="2"/>
    <n v="0"/>
    <n v="1"/>
    <m/>
    <x v="10"/>
    <x v="1"/>
    <n v="1"/>
  </r>
  <r>
    <x v="286"/>
    <n v="7500000"/>
    <x v="2"/>
    <n v="0"/>
    <n v="1"/>
    <m/>
    <x v="10"/>
    <x v="1"/>
    <n v="0.75"/>
  </r>
  <r>
    <x v="287"/>
    <n v="5000000"/>
    <x v="2"/>
    <n v="0"/>
    <n v="1"/>
    <m/>
    <x v="10"/>
    <x v="1"/>
    <n v="0.5"/>
  </r>
  <r>
    <x v="288"/>
    <n v="5000000"/>
    <x v="0"/>
    <n v="0"/>
    <n v="1"/>
    <s v="LSG"/>
    <x v="10"/>
    <x v="1"/>
    <n v="0.5"/>
  </r>
  <r>
    <x v="289"/>
    <n v="7500000"/>
    <x v="0"/>
    <n v="0"/>
    <n v="1"/>
    <m/>
    <x v="10"/>
    <x v="1"/>
    <n v="0.75"/>
  </r>
  <r>
    <x v="290"/>
    <n v="2000000"/>
    <x v="1"/>
    <n v="0"/>
    <n v="1"/>
    <m/>
    <x v="10"/>
    <x v="1"/>
    <n v="0.2"/>
  </r>
  <r>
    <x v="291"/>
    <n v="2000000"/>
    <x v="1"/>
    <n v="0"/>
    <n v="1"/>
    <s v="DC"/>
    <x v="10"/>
    <x v="1"/>
    <n v="0.2"/>
  </r>
  <r>
    <x v="292"/>
    <n v="2000000"/>
    <x v="1"/>
    <n v="0"/>
    <n v="1"/>
    <m/>
    <x v="10"/>
    <x v="1"/>
    <n v="0.2"/>
  </r>
  <r>
    <x v="293"/>
    <n v="2000000"/>
    <x v="1"/>
    <n v="0"/>
    <n v="1"/>
    <m/>
    <x v="10"/>
    <x v="1"/>
    <n v="0.2"/>
  </r>
  <r>
    <x v="294"/>
    <n v="2000000"/>
    <x v="1"/>
    <n v="0"/>
    <n v="1"/>
    <m/>
    <x v="10"/>
    <x v="1"/>
    <n v="0.2"/>
  </r>
  <r>
    <x v="295"/>
    <n v="2000000"/>
    <x v="1"/>
    <n v="0"/>
    <n v="1"/>
    <m/>
    <x v="10"/>
    <x v="1"/>
    <n v="0.2"/>
  </r>
  <r>
    <x v="296"/>
    <n v="2000000"/>
    <x v="1"/>
    <n v="0"/>
    <n v="1"/>
    <m/>
    <x v="10"/>
    <x v="1"/>
    <n v="0.2"/>
  </r>
  <r>
    <x v="297"/>
    <n v="4000000"/>
    <x v="1"/>
    <n v="0"/>
    <n v="1"/>
    <m/>
    <x v="10"/>
    <x v="1"/>
    <n v="0.4"/>
  </r>
  <r>
    <x v="298"/>
    <n v="3000000"/>
    <x v="1"/>
    <n v="0"/>
    <n v="1"/>
    <m/>
    <x v="10"/>
    <x v="1"/>
    <n v="0.3"/>
  </r>
  <r>
    <x v="299"/>
    <n v="2000000"/>
    <x v="3"/>
    <n v="0"/>
    <n v="1"/>
    <m/>
    <x v="10"/>
    <x v="1"/>
    <n v="0.2"/>
  </r>
  <r>
    <x v="300"/>
    <n v="2000000"/>
    <x v="3"/>
    <n v="0"/>
    <n v="1"/>
    <m/>
    <x v="10"/>
    <x v="1"/>
    <n v="0.2"/>
  </r>
  <r>
    <x v="301"/>
    <n v="2000000"/>
    <x v="3"/>
    <n v="0"/>
    <n v="1"/>
    <m/>
    <x v="10"/>
    <x v="1"/>
    <n v="0.2"/>
  </r>
  <r>
    <x v="302"/>
    <n v="2000000"/>
    <x v="3"/>
    <n v="0"/>
    <n v="1"/>
    <m/>
    <x v="10"/>
    <x v="1"/>
    <n v="0.2"/>
  </r>
  <r>
    <x v="303"/>
    <n v="2000000"/>
    <x v="3"/>
    <n v="0"/>
    <n v="1"/>
    <s v="SRH"/>
    <x v="10"/>
    <x v="1"/>
    <n v="0.2"/>
  </r>
  <r>
    <x v="304"/>
    <n v="2000000"/>
    <x v="2"/>
    <n v="0"/>
    <n v="1"/>
    <m/>
    <x v="10"/>
    <x v="1"/>
    <n v="0.2"/>
  </r>
  <r>
    <x v="305"/>
    <n v="2000000"/>
    <x v="2"/>
    <n v="0"/>
    <n v="1"/>
    <s v="KKR"/>
    <x v="10"/>
    <x v="1"/>
    <n v="0.2"/>
  </r>
  <r>
    <x v="306"/>
    <n v="2000000"/>
    <x v="2"/>
    <n v="0"/>
    <n v="1"/>
    <s v="KKR"/>
    <x v="10"/>
    <x v="1"/>
    <n v="0.2"/>
  </r>
  <r>
    <x v="307"/>
    <n v="2000000"/>
    <x v="2"/>
    <n v="0"/>
    <n v="1"/>
    <s v="MI"/>
    <x v="10"/>
    <x v="1"/>
    <n v="0.2"/>
  </r>
  <r>
    <x v="308"/>
    <n v="2000000"/>
    <x v="2"/>
    <n v="0"/>
    <n v="1"/>
    <m/>
    <x v="10"/>
    <x v="1"/>
    <n v="0.2"/>
  </r>
  <r>
    <x v="309"/>
    <n v="2000000"/>
    <x v="2"/>
    <n v="0"/>
    <n v="1"/>
    <s v="RCB"/>
    <x v="10"/>
    <x v="1"/>
    <n v="0.2"/>
  </r>
  <r>
    <x v="310"/>
    <n v="2000000"/>
    <x v="2"/>
    <n v="0"/>
    <n v="1"/>
    <m/>
    <x v="10"/>
    <x v="1"/>
    <n v="0.2"/>
  </r>
  <r>
    <x v="311"/>
    <n v="3000000"/>
    <x v="0"/>
    <n v="0"/>
    <n v="1"/>
    <m/>
    <x v="10"/>
    <x v="1"/>
    <n v="0.3"/>
  </r>
  <r>
    <x v="312"/>
    <n v="2000000"/>
    <x v="0"/>
    <n v="0"/>
    <n v="1"/>
    <m/>
    <x v="10"/>
    <x v="1"/>
    <n v="0.2"/>
  </r>
  <r>
    <x v="313"/>
    <n v="2000000"/>
    <x v="0"/>
    <n v="0"/>
    <n v="1"/>
    <s v="SRH"/>
    <x v="10"/>
    <x v="1"/>
    <n v="0.2"/>
  </r>
  <r>
    <x v="314"/>
    <n v="2000000"/>
    <x v="0"/>
    <n v="0"/>
    <n v="1"/>
    <m/>
    <x v="10"/>
    <x v="1"/>
    <n v="0.2"/>
  </r>
  <r>
    <x v="315"/>
    <n v="2000000"/>
    <x v="0"/>
    <n v="0"/>
    <n v="1"/>
    <s v="PBKS"/>
    <x v="10"/>
    <x v="1"/>
    <n v="0.2"/>
  </r>
  <r>
    <x v="316"/>
    <n v="2000000"/>
    <x v="0"/>
    <n v="0"/>
    <n v="1"/>
    <m/>
    <x v="10"/>
    <x v="1"/>
    <n v="0.2"/>
  </r>
  <r>
    <x v="317"/>
    <n v="2000000"/>
    <x v="0"/>
    <n v="0"/>
    <n v="1"/>
    <s v="MI"/>
    <x v="10"/>
    <x v="1"/>
    <n v="0.2"/>
  </r>
  <r>
    <x v="318"/>
    <n v="2000000"/>
    <x v="0"/>
    <n v="0"/>
    <n v="1"/>
    <m/>
    <x v="10"/>
    <x v="1"/>
    <n v="0.2"/>
  </r>
  <r>
    <x v="319"/>
    <n v="2000000"/>
    <x v="0"/>
    <n v="0"/>
    <n v="1"/>
    <m/>
    <x v="10"/>
    <x v="1"/>
    <n v="0.2"/>
  </r>
  <r>
    <x v="320"/>
    <n v="2000000"/>
    <x v="0"/>
    <n v="0"/>
    <n v="1"/>
    <m/>
    <x v="10"/>
    <x v="1"/>
    <n v="0.2"/>
  </r>
  <r>
    <x v="321"/>
    <n v="2000000"/>
    <x v="0"/>
    <n v="0"/>
    <n v="1"/>
    <m/>
    <x v="10"/>
    <x v="1"/>
    <n v="0.2"/>
  </r>
  <r>
    <x v="322"/>
    <n v="2000000"/>
    <x v="0"/>
    <n v="0"/>
    <n v="1"/>
    <s v="RR"/>
    <x v="10"/>
    <x v="1"/>
    <n v="0.2"/>
  </r>
  <r>
    <x v="323"/>
    <n v="2000000"/>
    <x v="0"/>
    <n v="0"/>
    <n v="1"/>
    <m/>
    <x v="10"/>
    <x v="1"/>
    <n v="0.2"/>
  </r>
  <r>
    <x v="324"/>
    <n v="2000000"/>
    <x v="0"/>
    <n v="0"/>
    <n v="1"/>
    <m/>
    <x v="10"/>
    <x v="1"/>
    <n v="0.2"/>
  </r>
  <r>
    <x v="325"/>
    <n v="2000000"/>
    <x v="0"/>
    <n v="0"/>
    <n v="1"/>
    <m/>
    <x v="10"/>
    <x v="1"/>
    <n v="0.2"/>
  </r>
  <r>
    <x v="326"/>
    <n v="2000000"/>
    <x v="0"/>
    <n v="0"/>
    <n v="1"/>
    <m/>
    <x v="10"/>
    <x v="1"/>
    <n v="0.2"/>
  </r>
  <r>
    <x v="327"/>
    <n v="5000000"/>
    <x v="1"/>
    <n v="0"/>
    <n v="1"/>
    <m/>
    <x v="10"/>
    <x v="1"/>
    <n v="0.5"/>
  </r>
  <r>
    <x v="328"/>
    <n v="5000000"/>
    <x v="1"/>
    <n v="0"/>
    <n v="1"/>
    <m/>
    <x v="10"/>
    <x v="1"/>
    <n v="0.5"/>
  </r>
  <r>
    <x v="329"/>
    <n v="5000000"/>
    <x v="1"/>
    <n v="0"/>
    <n v="1"/>
    <m/>
    <x v="10"/>
    <x v="1"/>
    <n v="0.5"/>
  </r>
  <r>
    <x v="330"/>
    <n v="20000000"/>
    <x v="1"/>
    <n v="0"/>
    <n v="1"/>
    <m/>
    <x v="10"/>
    <x v="1"/>
    <n v="2"/>
  </r>
  <r>
    <x v="331"/>
    <n v="5000000"/>
    <x v="1"/>
    <n v="0"/>
    <n v="1"/>
    <s v="RR"/>
    <x v="10"/>
    <x v="1"/>
    <n v="0.5"/>
  </r>
  <r>
    <x v="332"/>
    <n v="5000000"/>
    <x v="1"/>
    <n v="0"/>
    <n v="1"/>
    <m/>
    <x v="10"/>
    <x v="1"/>
    <n v="0.5"/>
  </r>
  <r>
    <x v="333"/>
    <n v="1500000"/>
    <x v="1"/>
    <n v="0"/>
    <n v="1"/>
    <s v="GT"/>
    <x v="10"/>
    <x v="1"/>
    <n v="0.15"/>
  </r>
  <r>
    <x v="334"/>
    <n v="5000000"/>
    <x v="1"/>
    <n v="0"/>
    <n v="1"/>
    <s v="GT"/>
    <x v="10"/>
    <x v="1"/>
    <n v="0.5"/>
  </r>
  <r>
    <x v="335"/>
    <n v="5000000"/>
    <x v="1"/>
    <n v="0"/>
    <n v="1"/>
    <m/>
    <x v="10"/>
    <x v="1"/>
    <n v="0.5"/>
  </r>
  <r>
    <x v="336"/>
    <n v="5000000"/>
    <x v="1"/>
    <n v="0"/>
    <n v="1"/>
    <m/>
    <x v="10"/>
    <x v="1"/>
    <n v="0.5"/>
  </r>
  <r>
    <x v="337"/>
    <n v="1500000"/>
    <x v="3"/>
    <n v="0"/>
    <n v="1"/>
    <s v="SRH"/>
    <x v="10"/>
    <x v="1"/>
    <n v="0.15"/>
  </r>
  <r>
    <x v="338"/>
    <n v="5000000"/>
    <x v="3"/>
    <n v="0"/>
    <n v="1"/>
    <m/>
    <x v="10"/>
    <x v="1"/>
    <n v="0.5"/>
  </r>
  <r>
    <x v="339"/>
    <n v="5000000"/>
    <x v="3"/>
    <n v="0"/>
    <n v="1"/>
    <m/>
    <x v="10"/>
    <x v="1"/>
    <n v="0.5"/>
  </r>
  <r>
    <x v="340"/>
    <n v="10000000"/>
    <x v="3"/>
    <n v="0"/>
    <n v="1"/>
    <m/>
    <x v="10"/>
    <x v="1"/>
    <n v="1"/>
  </r>
  <r>
    <x v="341"/>
    <n v="5000000"/>
    <x v="3"/>
    <n v="0"/>
    <n v="1"/>
    <s v="GT"/>
    <x v="10"/>
    <x v="1"/>
    <n v="0.5"/>
  </r>
  <r>
    <x v="342"/>
    <n v="5000000"/>
    <x v="3"/>
    <n v="0"/>
    <n v="1"/>
    <m/>
    <x v="10"/>
    <x v="1"/>
    <n v="0.5"/>
  </r>
  <r>
    <x v="343"/>
    <n v="5000000"/>
    <x v="3"/>
    <n v="0"/>
    <n v="1"/>
    <s v="KKR"/>
    <x v="10"/>
    <x v="1"/>
    <n v="0.5"/>
  </r>
  <r>
    <x v="344"/>
    <n v="20000000"/>
    <x v="3"/>
    <n v="0"/>
    <n v="1"/>
    <m/>
    <x v="10"/>
    <x v="1"/>
    <n v="2"/>
  </r>
  <r>
    <x v="345"/>
    <n v="5000000"/>
    <x v="3"/>
    <n v="0"/>
    <n v="1"/>
    <m/>
    <x v="10"/>
    <x v="1"/>
    <n v="0.5"/>
  </r>
  <r>
    <x v="346"/>
    <n v="5000000"/>
    <x v="0"/>
    <n v="0"/>
    <n v="1"/>
    <m/>
    <x v="10"/>
    <x v="1"/>
    <n v="0.5"/>
  </r>
  <r>
    <x v="347"/>
    <n v="5000000"/>
    <x v="0"/>
    <n v="0"/>
    <n v="1"/>
    <m/>
    <x v="10"/>
    <x v="1"/>
    <n v="0.5"/>
  </r>
  <r>
    <x v="348"/>
    <n v="5000000"/>
    <x v="0"/>
    <n v="0"/>
    <n v="1"/>
    <m/>
    <x v="10"/>
    <x v="1"/>
    <n v="0.5"/>
  </r>
  <r>
    <x v="349"/>
    <n v="5000000"/>
    <x v="0"/>
    <n v="0"/>
    <n v="1"/>
    <m/>
    <x v="10"/>
    <x v="1"/>
    <n v="0.5"/>
  </r>
  <r>
    <x v="350"/>
    <n v="5000000"/>
    <x v="0"/>
    <n v="0"/>
    <n v="1"/>
    <m/>
    <x v="10"/>
    <x v="1"/>
    <n v="0.5"/>
  </r>
  <r>
    <x v="351"/>
    <n v="10000000"/>
    <x v="0"/>
    <n v="0"/>
    <n v="1"/>
    <s v="LSG"/>
    <x v="10"/>
    <x v="1"/>
    <n v="1"/>
  </r>
  <r>
    <x v="352"/>
    <n v="10000000"/>
    <x v="0"/>
    <n v="0"/>
    <n v="1"/>
    <m/>
    <x v="10"/>
    <x v="1"/>
    <n v="1"/>
  </r>
  <r>
    <x v="353"/>
    <n v="2000000"/>
    <x v="1"/>
    <n v="0"/>
    <n v="1"/>
    <m/>
    <x v="10"/>
    <x v="1"/>
    <n v="0.2"/>
  </r>
  <r>
    <x v="354"/>
    <n v="2000000"/>
    <x v="1"/>
    <n v="0"/>
    <n v="1"/>
    <m/>
    <x v="10"/>
    <x v="1"/>
    <n v="0.2"/>
  </r>
  <r>
    <x v="355"/>
    <n v="2000000"/>
    <x v="1"/>
    <n v="0"/>
    <n v="1"/>
    <m/>
    <x v="10"/>
    <x v="1"/>
    <n v="0.2"/>
  </r>
  <r>
    <x v="356"/>
    <n v="2000000"/>
    <x v="1"/>
    <n v="0"/>
    <n v="1"/>
    <m/>
    <x v="10"/>
    <x v="1"/>
    <n v="0.2"/>
  </r>
  <r>
    <x v="357"/>
    <n v="2000000"/>
    <x v="1"/>
    <n v="0"/>
    <n v="1"/>
    <m/>
    <x v="10"/>
    <x v="1"/>
    <n v="0.2"/>
  </r>
  <r>
    <x v="358"/>
    <n v="2000000"/>
    <x v="1"/>
    <n v="0"/>
    <n v="1"/>
    <s v="CSK"/>
    <x v="10"/>
    <x v="1"/>
    <n v="0.2"/>
  </r>
  <r>
    <x v="359"/>
    <n v="2000000"/>
    <x v="1"/>
    <n v="0"/>
    <n v="1"/>
    <m/>
    <x v="10"/>
    <x v="1"/>
    <n v="0.2"/>
  </r>
  <r>
    <x v="360"/>
    <n v="2000000"/>
    <x v="1"/>
    <n v="0"/>
    <n v="1"/>
    <m/>
    <x v="10"/>
    <x v="1"/>
    <n v="0.2"/>
  </r>
  <r>
    <x v="361"/>
    <n v="2000000"/>
    <x v="1"/>
    <n v="0"/>
    <n v="1"/>
    <m/>
    <x v="10"/>
    <x v="1"/>
    <n v="0.2"/>
  </r>
  <r>
    <x v="316"/>
    <n v="2000000"/>
    <x v="1"/>
    <n v="0"/>
    <n v="1"/>
    <m/>
    <x v="10"/>
    <x v="1"/>
    <n v="0.2"/>
  </r>
  <r>
    <x v="362"/>
    <n v="2000000"/>
    <x v="3"/>
    <n v="0"/>
    <n v="1"/>
    <m/>
    <x v="10"/>
    <x v="1"/>
    <n v="0.2"/>
  </r>
  <r>
    <x v="363"/>
    <n v="2000000"/>
    <x v="3"/>
    <n v="0"/>
    <n v="1"/>
    <m/>
    <x v="10"/>
    <x v="1"/>
    <n v="0.2"/>
  </r>
  <r>
    <x v="364"/>
    <n v="2000000"/>
    <x v="3"/>
    <n v="0"/>
    <n v="1"/>
    <m/>
    <x v="10"/>
    <x v="1"/>
    <n v="0.2"/>
  </r>
  <r>
    <x v="365"/>
    <n v="2000000"/>
    <x v="3"/>
    <n v="0"/>
    <n v="1"/>
    <m/>
    <x v="10"/>
    <x v="1"/>
    <n v="0.2"/>
  </r>
  <r>
    <x v="366"/>
    <n v="2000000"/>
    <x v="3"/>
    <n v="0"/>
    <n v="1"/>
    <m/>
    <x v="10"/>
    <x v="1"/>
    <n v="0.2"/>
  </r>
  <r>
    <x v="367"/>
    <n v="2000000"/>
    <x v="3"/>
    <n v="0"/>
    <n v="1"/>
    <m/>
    <x v="10"/>
    <x v="1"/>
    <n v="0.2"/>
  </r>
  <r>
    <x v="368"/>
    <n v="2000000"/>
    <x v="3"/>
    <n v="0"/>
    <n v="1"/>
    <m/>
    <x v="10"/>
    <x v="1"/>
    <n v="0.2"/>
  </r>
  <r>
    <x v="369"/>
    <n v="2000000"/>
    <x v="3"/>
    <n v="0"/>
    <n v="1"/>
    <s v="MI"/>
    <x v="10"/>
    <x v="1"/>
    <n v="0.2"/>
  </r>
  <r>
    <x v="370"/>
    <n v="2000000"/>
    <x v="2"/>
    <n v="0"/>
    <n v="1"/>
    <m/>
    <x v="10"/>
    <x v="1"/>
    <n v="0.2"/>
  </r>
  <r>
    <x v="371"/>
    <n v="2000000"/>
    <x v="2"/>
    <n v="0"/>
    <n v="1"/>
    <m/>
    <x v="10"/>
    <x v="1"/>
    <n v="0.2"/>
  </r>
  <r>
    <x v="372"/>
    <n v="2000000"/>
    <x v="2"/>
    <n v="0"/>
    <n v="1"/>
    <m/>
    <x v="10"/>
    <x v="1"/>
    <n v="0.2"/>
  </r>
  <r>
    <x v="373"/>
    <n v="2000000"/>
    <x v="2"/>
    <n v="0"/>
    <n v="1"/>
    <m/>
    <x v="10"/>
    <x v="1"/>
    <n v="0.2"/>
  </r>
  <r>
    <x v="374"/>
    <n v="2000000"/>
    <x v="2"/>
    <n v="0"/>
    <n v="1"/>
    <m/>
    <x v="10"/>
    <x v="1"/>
    <n v="0.2"/>
  </r>
  <r>
    <x v="375"/>
    <n v="2000000"/>
    <x v="2"/>
    <n v="0"/>
    <n v="1"/>
    <m/>
    <x v="10"/>
    <x v="1"/>
    <n v="0.2"/>
  </r>
  <r>
    <x v="376"/>
    <n v="2000000"/>
    <x v="2"/>
    <n v="0"/>
    <n v="1"/>
    <m/>
    <x v="10"/>
    <x v="1"/>
    <n v="0.2"/>
  </r>
  <r>
    <x v="377"/>
    <n v="2000000"/>
    <x v="2"/>
    <n v="0"/>
    <n v="1"/>
    <m/>
    <x v="10"/>
    <x v="1"/>
    <n v="0.2"/>
  </r>
  <r>
    <x v="378"/>
    <n v="2000000"/>
    <x v="2"/>
    <n v="0"/>
    <n v="1"/>
    <m/>
    <x v="10"/>
    <x v="1"/>
    <n v="0.2"/>
  </r>
  <r>
    <x v="379"/>
    <n v="2000000"/>
    <x v="2"/>
    <n v="0"/>
    <n v="1"/>
    <m/>
    <x v="10"/>
    <x v="1"/>
    <n v="0.2"/>
  </r>
  <r>
    <x v="380"/>
    <n v="2000000"/>
    <x v="2"/>
    <n v="0"/>
    <n v="1"/>
    <m/>
    <x v="10"/>
    <x v="1"/>
    <n v="0.2"/>
  </r>
  <r>
    <x v="381"/>
    <n v="2000000"/>
    <x v="2"/>
    <n v="0"/>
    <n v="1"/>
    <m/>
    <x v="10"/>
    <x v="1"/>
    <n v="0.2"/>
  </r>
  <r>
    <x v="382"/>
    <n v="2000000"/>
    <x v="2"/>
    <n v="0"/>
    <n v="1"/>
    <s v="KKR"/>
    <x v="10"/>
    <x v="1"/>
    <n v="0.2"/>
  </r>
  <r>
    <x v="383"/>
    <n v="2000000"/>
    <x v="0"/>
    <n v="0"/>
    <n v="1"/>
    <m/>
    <x v="10"/>
    <x v="1"/>
    <n v="0.2"/>
  </r>
  <r>
    <x v="384"/>
    <n v="2000000"/>
    <x v="0"/>
    <n v="0"/>
    <n v="1"/>
    <m/>
    <x v="10"/>
    <x v="1"/>
    <n v="0.2"/>
  </r>
  <r>
    <x v="385"/>
    <n v="2000000"/>
    <x v="0"/>
    <n v="0"/>
    <n v="1"/>
    <s v="KKR"/>
    <x v="10"/>
    <x v="1"/>
    <n v="0.2"/>
  </r>
  <r>
    <x v="386"/>
    <n v="2000000"/>
    <x v="0"/>
    <n v="0"/>
    <n v="1"/>
    <m/>
    <x v="10"/>
    <x v="1"/>
    <n v="0.2"/>
  </r>
  <r>
    <x v="387"/>
    <n v="2000000"/>
    <x v="0"/>
    <n v="0"/>
    <n v="1"/>
    <m/>
    <x v="10"/>
    <x v="1"/>
    <n v="0.2"/>
  </r>
  <r>
    <x v="388"/>
    <n v="2000000"/>
    <x v="0"/>
    <n v="0"/>
    <n v="1"/>
    <m/>
    <x v="10"/>
    <x v="1"/>
    <n v="0.2"/>
  </r>
  <r>
    <x v="389"/>
    <n v="2000000"/>
    <x v="0"/>
    <n v="0"/>
    <n v="1"/>
    <m/>
    <x v="10"/>
    <x v="1"/>
    <n v="0.2"/>
  </r>
  <r>
    <x v="390"/>
    <n v="2000000"/>
    <x v="0"/>
    <n v="0"/>
    <n v="1"/>
    <m/>
    <x v="10"/>
    <x v="1"/>
    <n v="0.2"/>
  </r>
  <r>
    <x v="391"/>
    <n v="2000000"/>
    <x v="0"/>
    <n v="0"/>
    <n v="1"/>
    <s v="LSG"/>
    <x v="10"/>
    <x v="1"/>
    <n v="0.2"/>
  </r>
  <r>
    <x v="392"/>
    <n v="2000000"/>
    <x v="0"/>
    <n v="0"/>
    <n v="1"/>
    <m/>
    <x v="10"/>
    <x v="1"/>
    <n v="0.2"/>
  </r>
  <r>
    <x v="393"/>
    <n v="2000000"/>
    <x v="0"/>
    <n v="0"/>
    <n v="1"/>
    <m/>
    <x v="10"/>
    <x v="1"/>
    <n v="0.2"/>
  </r>
  <r>
    <x v="394"/>
    <n v="2000000"/>
    <x v="0"/>
    <n v="0"/>
    <n v="1"/>
    <m/>
    <x v="10"/>
    <x v="1"/>
    <n v="0.2"/>
  </r>
  <r>
    <x v="395"/>
    <n v="2000000"/>
    <x v="0"/>
    <n v="0"/>
    <n v="1"/>
    <m/>
    <x v="10"/>
    <x v="1"/>
    <n v="0.2"/>
  </r>
  <r>
    <x v="396"/>
    <n v="2000000"/>
    <x v="0"/>
    <n v="0"/>
    <n v="1"/>
    <m/>
    <x v="10"/>
    <x v="1"/>
    <n v="0.2"/>
  </r>
  <r>
    <x v="397"/>
    <n v="2000000"/>
    <x v="0"/>
    <n v="0"/>
    <n v="1"/>
    <m/>
    <x v="10"/>
    <x v="1"/>
    <n v="0.2"/>
  </r>
  <r>
    <x v="398"/>
    <n v="2000000"/>
    <x v="0"/>
    <n v="0"/>
    <n v="1"/>
    <m/>
    <x v="10"/>
    <x v="1"/>
    <n v="0.2"/>
  </r>
  <r>
    <x v="399"/>
    <n v="2000000"/>
    <x v="0"/>
    <n v="0"/>
    <n v="1"/>
    <m/>
    <x v="10"/>
    <x v="1"/>
    <n v="0.2"/>
  </r>
  <r>
    <x v="400"/>
    <n v="2000000"/>
    <x v="0"/>
    <n v="0"/>
    <n v="1"/>
    <m/>
    <x v="10"/>
    <x v="1"/>
    <n v="0.2"/>
  </r>
  <r>
    <x v="401"/>
    <n v="2000000"/>
    <x v="0"/>
    <n v="0"/>
    <n v="1"/>
    <m/>
    <x v="10"/>
    <x v="1"/>
    <n v="0.2"/>
  </r>
  <r>
    <x v="402"/>
    <n v="7500000"/>
    <x v="3"/>
    <n v="0"/>
    <n v="1"/>
    <m/>
    <x v="10"/>
    <x v="1"/>
    <n v="0.75"/>
  </r>
  <r>
    <x v="403"/>
    <n v="10000000"/>
    <x v="3"/>
    <n v="0"/>
    <n v="1"/>
    <m/>
    <x v="10"/>
    <x v="1"/>
    <n v="1"/>
  </r>
  <r>
    <x v="404"/>
    <n v="5000000"/>
    <x v="3"/>
    <n v="0"/>
    <n v="1"/>
    <m/>
    <x v="10"/>
    <x v="1"/>
    <n v="0.5"/>
  </r>
  <r>
    <x v="405"/>
    <n v="5000000"/>
    <x v="3"/>
    <n v="0"/>
    <n v="1"/>
    <m/>
    <x v="10"/>
    <x v="1"/>
    <n v="0.5"/>
  </r>
  <r>
    <x v="406"/>
    <n v="5000000"/>
    <x v="3"/>
    <n v="0"/>
    <n v="1"/>
    <m/>
    <x v="10"/>
    <x v="1"/>
    <n v="0.5"/>
  </r>
  <r>
    <x v="407"/>
    <n v="20000000"/>
    <x v="3"/>
    <n v="0"/>
    <n v="1"/>
    <m/>
    <x v="10"/>
    <x v="1"/>
    <n v="2"/>
  </r>
  <r>
    <x v="408"/>
    <n v="7500000"/>
    <x v="3"/>
    <n v="0"/>
    <n v="1"/>
    <m/>
    <x v="10"/>
    <x v="1"/>
    <n v="0.75"/>
  </r>
  <r>
    <x v="409"/>
    <n v="5000000"/>
    <x v="3"/>
    <n v="0"/>
    <n v="1"/>
    <m/>
    <x v="10"/>
    <x v="1"/>
    <n v="0.5"/>
  </r>
  <r>
    <x v="410"/>
    <n v="5000000"/>
    <x v="3"/>
    <n v="0"/>
    <n v="1"/>
    <m/>
    <x v="10"/>
    <x v="1"/>
    <n v="0.5"/>
  </r>
  <r>
    <x v="411"/>
    <n v="5000000"/>
    <x v="0"/>
    <n v="0"/>
    <n v="1"/>
    <s v="GT"/>
    <x v="10"/>
    <x v="1"/>
    <n v="0.5"/>
  </r>
  <r>
    <x v="412"/>
    <n v="5000000"/>
    <x v="0"/>
    <n v="0"/>
    <n v="1"/>
    <m/>
    <x v="10"/>
    <x v="1"/>
    <n v="0.5"/>
  </r>
  <r>
    <x v="413"/>
    <n v="1500000"/>
    <x v="0"/>
    <n v="0"/>
    <n v="1"/>
    <s v="RR"/>
    <x v="10"/>
    <x v="1"/>
    <n v="0.15"/>
  </r>
  <r>
    <x v="414"/>
    <n v="5000000"/>
    <x v="0"/>
    <n v="0"/>
    <n v="1"/>
    <m/>
    <x v="10"/>
    <x v="1"/>
    <n v="0.5"/>
  </r>
  <r>
    <x v="415"/>
    <n v="10000000"/>
    <x v="0"/>
    <n v="0"/>
    <n v="1"/>
    <m/>
    <x v="10"/>
    <x v="1"/>
    <n v="1"/>
  </r>
  <r>
    <x v="416"/>
    <n v="5000000"/>
    <x v="0"/>
    <n v="0"/>
    <n v="1"/>
    <m/>
    <x v="10"/>
    <x v="1"/>
    <n v="0.5"/>
  </r>
  <r>
    <x v="417"/>
    <n v="20000000"/>
    <x v="0"/>
    <n v="0"/>
    <n v="1"/>
    <s v="MI"/>
    <x v="10"/>
    <x v="1"/>
    <n v="2"/>
  </r>
  <r>
    <x v="418"/>
    <n v="7500000"/>
    <x v="0"/>
    <n v="0"/>
    <n v="1"/>
    <m/>
    <x v="10"/>
    <x v="1"/>
    <n v="0.75"/>
  </r>
  <r>
    <x v="419"/>
    <n v="5000000"/>
    <x v="0"/>
    <n v="0"/>
    <n v="1"/>
    <m/>
    <x v="10"/>
    <x v="1"/>
    <n v="0.5"/>
  </r>
  <r>
    <x v="420"/>
    <n v="5000000"/>
    <x v="0"/>
    <n v="0"/>
    <n v="1"/>
    <m/>
    <x v="10"/>
    <x v="1"/>
    <n v="0.5"/>
  </r>
  <r>
    <x v="421"/>
    <n v="2000000"/>
    <x v="1"/>
    <n v="0"/>
    <n v="1"/>
    <m/>
    <x v="10"/>
    <x v="1"/>
    <n v="0.2"/>
  </r>
  <r>
    <x v="422"/>
    <n v="2000000"/>
    <x v="1"/>
    <n v="0"/>
    <n v="1"/>
    <m/>
    <x v="10"/>
    <x v="1"/>
    <n v="0.2"/>
  </r>
  <r>
    <x v="423"/>
    <n v="2000000"/>
    <x v="1"/>
    <n v="0"/>
    <n v="1"/>
    <m/>
    <x v="10"/>
    <x v="1"/>
    <n v="0.2"/>
  </r>
  <r>
    <x v="424"/>
    <n v="2000000"/>
    <x v="1"/>
    <n v="0"/>
    <n v="1"/>
    <m/>
    <x v="10"/>
    <x v="1"/>
    <n v="0.2"/>
  </r>
  <r>
    <x v="425"/>
    <n v="2000000"/>
    <x v="1"/>
    <n v="0"/>
    <n v="1"/>
    <m/>
    <x v="10"/>
    <x v="1"/>
    <n v="0.2"/>
  </r>
  <r>
    <x v="426"/>
    <n v="2000000"/>
    <x v="1"/>
    <n v="0"/>
    <n v="1"/>
    <m/>
    <x v="10"/>
    <x v="1"/>
    <n v="0.2"/>
  </r>
  <r>
    <x v="427"/>
    <n v="2000000"/>
    <x v="1"/>
    <n v="0"/>
    <n v="1"/>
    <m/>
    <x v="10"/>
    <x v="1"/>
    <n v="0.2"/>
  </r>
  <r>
    <x v="428"/>
    <n v="2000000"/>
    <x v="1"/>
    <n v="0"/>
    <n v="1"/>
    <m/>
    <x v="10"/>
    <x v="1"/>
    <n v="0.2"/>
  </r>
  <r>
    <x v="429"/>
    <n v="2000000"/>
    <x v="1"/>
    <n v="0"/>
    <n v="1"/>
    <m/>
    <x v="10"/>
    <x v="1"/>
    <n v="0.2"/>
  </r>
  <r>
    <x v="430"/>
    <n v="2000000"/>
    <x v="1"/>
    <n v="0"/>
    <n v="1"/>
    <m/>
    <x v="10"/>
    <x v="1"/>
    <n v="0.2"/>
  </r>
  <r>
    <x v="431"/>
    <n v="2000000"/>
    <x v="1"/>
    <n v="0"/>
    <n v="1"/>
    <m/>
    <x v="10"/>
    <x v="1"/>
    <n v="0.2"/>
  </r>
  <r>
    <x v="432"/>
    <n v="2000000"/>
    <x v="1"/>
    <n v="0"/>
    <n v="1"/>
    <m/>
    <x v="10"/>
    <x v="1"/>
    <n v="0.2"/>
  </r>
  <r>
    <x v="433"/>
    <n v="4000000"/>
    <x v="3"/>
    <n v="0"/>
    <n v="1"/>
    <m/>
    <x v="10"/>
    <x v="1"/>
    <n v="0.4"/>
  </r>
  <r>
    <x v="434"/>
    <n v="2000000"/>
    <x v="3"/>
    <n v="0"/>
    <n v="1"/>
    <m/>
    <x v="10"/>
    <x v="1"/>
    <n v="0.2"/>
  </r>
  <r>
    <x v="435"/>
    <n v="2000000"/>
    <x v="3"/>
    <n v="0"/>
    <n v="1"/>
    <s v="MI"/>
    <x v="10"/>
    <x v="1"/>
    <n v="0.2"/>
  </r>
  <r>
    <x v="436"/>
    <n v="2000000"/>
    <x v="3"/>
    <n v="0"/>
    <n v="1"/>
    <m/>
    <x v="10"/>
    <x v="1"/>
    <n v="0.2"/>
  </r>
  <r>
    <x v="437"/>
    <n v="2000000"/>
    <x v="3"/>
    <n v="0"/>
    <n v="1"/>
    <s v="PBKS"/>
    <x v="10"/>
    <x v="1"/>
    <n v="0.2"/>
  </r>
  <r>
    <x v="438"/>
    <n v="2000000"/>
    <x v="3"/>
    <n v="0"/>
    <n v="1"/>
    <m/>
    <x v="10"/>
    <x v="1"/>
    <n v="0.2"/>
  </r>
  <r>
    <x v="439"/>
    <n v="2000000"/>
    <x v="3"/>
    <n v="0"/>
    <n v="1"/>
    <m/>
    <x v="10"/>
    <x v="1"/>
    <n v="0.2"/>
  </r>
  <r>
    <x v="440"/>
    <n v="2000000"/>
    <x v="3"/>
    <n v="0"/>
    <n v="1"/>
    <m/>
    <x v="10"/>
    <x v="1"/>
    <n v="0.2"/>
  </r>
  <r>
    <x v="441"/>
    <n v="2000000"/>
    <x v="3"/>
    <n v="0"/>
    <n v="1"/>
    <m/>
    <x v="10"/>
    <x v="1"/>
    <n v="0.2"/>
  </r>
  <r>
    <x v="442"/>
    <n v="2000000"/>
    <x v="3"/>
    <n v="0"/>
    <n v="1"/>
    <m/>
    <x v="10"/>
    <x v="1"/>
    <n v="0.2"/>
  </r>
  <r>
    <x v="443"/>
    <n v="4000000"/>
    <x v="3"/>
    <n v="0"/>
    <n v="1"/>
    <m/>
    <x v="10"/>
    <x v="1"/>
    <n v="0.4"/>
  </r>
  <r>
    <x v="444"/>
    <n v="2000000"/>
    <x v="3"/>
    <n v="0"/>
    <n v="1"/>
    <m/>
    <x v="10"/>
    <x v="1"/>
    <n v="0.2"/>
  </r>
  <r>
    <x v="445"/>
    <n v="2000000"/>
    <x v="2"/>
    <n v="0"/>
    <n v="1"/>
    <m/>
    <x v="10"/>
    <x v="1"/>
    <n v="0.2"/>
  </r>
  <r>
    <x v="446"/>
    <n v="2000000"/>
    <x v="2"/>
    <n v="0"/>
    <n v="1"/>
    <m/>
    <x v="10"/>
    <x v="1"/>
    <n v="0.2"/>
  </r>
  <r>
    <x v="447"/>
    <n v="2000000"/>
    <x v="2"/>
    <n v="0"/>
    <n v="1"/>
    <m/>
    <x v="10"/>
    <x v="1"/>
    <n v="0.2"/>
  </r>
  <r>
    <x v="448"/>
    <n v="2000000"/>
    <x v="2"/>
    <n v="0"/>
    <n v="1"/>
    <m/>
    <x v="10"/>
    <x v="1"/>
    <n v="0.2"/>
  </r>
  <r>
    <x v="449"/>
    <n v="2000000"/>
    <x v="2"/>
    <n v="0"/>
    <n v="1"/>
    <m/>
    <x v="10"/>
    <x v="1"/>
    <n v="0.2"/>
  </r>
  <r>
    <x v="450"/>
    <n v="2000000"/>
    <x v="2"/>
    <n v="0"/>
    <n v="1"/>
    <m/>
    <x v="10"/>
    <x v="1"/>
    <n v="0.2"/>
  </r>
  <r>
    <x v="451"/>
    <n v="2000000"/>
    <x v="2"/>
    <n v="0"/>
    <n v="1"/>
    <m/>
    <x v="10"/>
    <x v="1"/>
    <n v="0.2"/>
  </r>
  <r>
    <x v="452"/>
    <n v="2000000"/>
    <x v="2"/>
    <n v="0"/>
    <n v="1"/>
    <m/>
    <x v="10"/>
    <x v="1"/>
    <n v="0.2"/>
  </r>
  <r>
    <x v="453"/>
    <n v="2000000"/>
    <x v="2"/>
    <n v="0"/>
    <n v="1"/>
    <m/>
    <x v="10"/>
    <x v="1"/>
    <n v="0.2"/>
  </r>
  <r>
    <x v="454"/>
    <n v="2000000"/>
    <x v="2"/>
    <n v="0"/>
    <n v="1"/>
    <m/>
    <x v="10"/>
    <x v="1"/>
    <n v="0.2"/>
  </r>
  <r>
    <x v="455"/>
    <n v="2000000"/>
    <x v="2"/>
    <n v="0"/>
    <n v="1"/>
    <m/>
    <x v="10"/>
    <x v="1"/>
    <n v="0.2"/>
  </r>
  <r>
    <x v="456"/>
    <n v="2000000"/>
    <x v="2"/>
    <n v="0"/>
    <n v="1"/>
    <m/>
    <x v="10"/>
    <x v="1"/>
    <n v="0.2"/>
  </r>
  <r>
    <x v="457"/>
    <n v="2000000"/>
    <x v="2"/>
    <n v="0"/>
    <n v="1"/>
    <m/>
    <x v="10"/>
    <x v="1"/>
    <n v="0.2"/>
  </r>
  <r>
    <x v="458"/>
    <n v="2000000"/>
    <x v="0"/>
    <n v="0"/>
    <n v="1"/>
    <m/>
    <x v="10"/>
    <x v="1"/>
    <n v="0.2"/>
  </r>
  <r>
    <x v="459"/>
    <n v="2000000"/>
    <x v="0"/>
    <n v="0"/>
    <n v="1"/>
    <m/>
    <x v="10"/>
    <x v="1"/>
    <n v="0.2"/>
  </r>
  <r>
    <x v="460"/>
    <n v="2000000"/>
    <x v="0"/>
    <n v="0"/>
    <n v="1"/>
    <m/>
    <x v="10"/>
    <x v="1"/>
    <n v="0.2"/>
  </r>
  <r>
    <x v="461"/>
    <n v="2000000"/>
    <x v="0"/>
    <n v="0"/>
    <n v="1"/>
    <m/>
    <x v="10"/>
    <x v="1"/>
    <n v="0.2"/>
  </r>
  <r>
    <x v="462"/>
    <n v="4000000"/>
    <x v="0"/>
    <n v="0"/>
    <n v="1"/>
    <m/>
    <x v="10"/>
    <x v="1"/>
    <n v="0.4"/>
  </r>
  <r>
    <x v="463"/>
    <n v="2000000"/>
    <x v="0"/>
    <n v="0"/>
    <n v="1"/>
    <m/>
    <x v="10"/>
    <x v="1"/>
    <n v="0.2"/>
  </r>
  <r>
    <x v="464"/>
    <n v="2000000"/>
    <x v="0"/>
    <n v="0"/>
    <n v="1"/>
    <m/>
    <x v="10"/>
    <x v="1"/>
    <n v="0.2"/>
  </r>
  <r>
    <x v="465"/>
    <n v="2000000"/>
    <x v="0"/>
    <n v="0"/>
    <n v="1"/>
    <m/>
    <x v="10"/>
    <x v="1"/>
    <n v="0.2"/>
  </r>
  <r>
    <x v="466"/>
    <n v="2000000"/>
    <x v="0"/>
    <n v="0"/>
    <n v="1"/>
    <m/>
    <x v="10"/>
    <x v="1"/>
    <n v="0.2"/>
  </r>
  <r>
    <x v="467"/>
    <n v="2000000"/>
    <x v="0"/>
    <n v="0"/>
    <n v="1"/>
    <m/>
    <x v="10"/>
    <x v="1"/>
    <n v="0.2"/>
  </r>
  <r>
    <x v="468"/>
    <n v="2000000"/>
    <x v="0"/>
    <n v="0"/>
    <n v="1"/>
    <m/>
    <x v="10"/>
    <x v="1"/>
    <n v="0.2"/>
  </r>
  <r>
    <x v="469"/>
    <n v="2000000"/>
    <x v="0"/>
    <n v="0"/>
    <n v="1"/>
    <m/>
    <x v="10"/>
    <x v="1"/>
    <n v="0.2"/>
  </r>
  <r>
    <x v="470"/>
    <n v="5000000"/>
    <x v="3"/>
    <n v="0"/>
    <n v="1"/>
    <s v="MI"/>
    <x v="10"/>
    <x v="1"/>
    <n v="0.5"/>
  </r>
  <r>
    <x v="471"/>
    <n v="7500000"/>
    <x v="3"/>
    <n v="0"/>
    <n v="1"/>
    <m/>
    <x v="10"/>
    <x v="1"/>
    <n v="0.75"/>
  </r>
  <r>
    <x v="472"/>
    <n v="10000000"/>
    <x v="3"/>
    <n v="0"/>
    <n v="1"/>
    <m/>
    <x v="10"/>
    <x v="1"/>
    <n v="1"/>
  </r>
  <r>
    <x v="473"/>
    <n v="10000000"/>
    <x v="3"/>
    <n v="0"/>
    <n v="1"/>
    <m/>
    <x v="10"/>
    <x v="1"/>
    <n v="1"/>
  </r>
  <r>
    <x v="474"/>
    <n v="5000000"/>
    <x v="3"/>
    <n v="0"/>
    <n v="1"/>
    <m/>
    <x v="10"/>
    <x v="1"/>
    <n v="0.5"/>
  </r>
  <r>
    <x v="475"/>
    <n v="5000000"/>
    <x v="3"/>
    <n v="0"/>
    <n v="1"/>
    <m/>
    <x v="10"/>
    <x v="1"/>
    <n v="0.5"/>
  </r>
  <r>
    <x v="476"/>
    <n v="5000000"/>
    <x v="3"/>
    <n v="0"/>
    <n v="1"/>
    <m/>
    <x v="10"/>
    <x v="1"/>
    <n v="0.5"/>
  </r>
  <r>
    <x v="477"/>
    <n v="5000000"/>
    <x v="3"/>
    <n v="0"/>
    <n v="1"/>
    <m/>
    <x v="10"/>
    <x v="1"/>
    <n v="0.5"/>
  </r>
  <r>
    <x v="478"/>
    <n v="2000000"/>
    <x v="3"/>
    <n v="0"/>
    <n v="1"/>
    <m/>
    <x v="10"/>
    <x v="1"/>
    <n v="0.2"/>
  </r>
  <r>
    <x v="479"/>
    <n v="2000000"/>
    <x v="3"/>
    <n v="0"/>
    <n v="1"/>
    <m/>
    <x v="10"/>
    <x v="1"/>
    <n v="0.2"/>
  </r>
  <r>
    <x v="480"/>
    <n v="4000000"/>
    <x v="3"/>
    <n v="0"/>
    <n v="1"/>
    <m/>
    <x v="10"/>
    <x v="1"/>
    <n v="0.4"/>
  </r>
  <r>
    <x v="481"/>
    <n v="2000000"/>
    <x v="3"/>
    <n v="0"/>
    <n v="1"/>
    <m/>
    <x v="10"/>
    <x v="1"/>
    <n v="0.2"/>
  </r>
  <r>
    <x v="482"/>
    <n v="2000000"/>
    <x v="3"/>
    <n v="0"/>
    <n v="1"/>
    <m/>
    <x v="10"/>
    <x v="1"/>
    <n v="0.2"/>
  </r>
  <r>
    <x v="483"/>
    <n v="2000000"/>
    <x v="3"/>
    <n v="0"/>
    <n v="1"/>
    <m/>
    <x v="10"/>
    <x v="1"/>
    <n v="0.2"/>
  </r>
  <r>
    <x v="484"/>
    <n v="2000000"/>
    <x v="3"/>
    <n v="0"/>
    <n v="1"/>
    <m/>
    <x v="10"/>
    <x v="1"/>
    <n v="0.2"/>
  </r>
  <r>
    <x v="485"/>
    <n v="2000000"/>
    <x v="3"/>
    <n v="0"/>
    <n v="1"/>
    <m/>
    <x v="10"/>
    <x v="1"/>
    <n v="0.2"/>
  </r>
  <r>
    <x v="486"/>
    <n v="2000000"/>
    <x v="3"/>
    <n v="0"/>
    <n v="1"/>
    <m/>
    <x v="10"/>
    <x v="1"/>
    <n v="0.2"/>
  </r>
  <r>
    <x v="487"/>
    <n v="2000000"/>
    <x v="3"/>
    <n v="0"/>
    <n v="1"/>
    <m/>
    <x v="10"/>
    <x v="1"/>
    <n v="0.2"/>
  </r>
  <r>
    <x v="488"/>
    <n v="2000000"/>
    <x v="3"/>
    <n v="0"/>
    <n v="1"/>
    <m/>
    <x v="10"/>
    <x v="1"/>
    <n v="0.2"/>
  </r>
  <r>
    <x v="489"/>
    <n v="2000000"/>
    <x v="0"/>
    <n v="0"/>
    <n v="1"/>
    <m/>
    <x v="10"/>
    <x v="1"/>
    <n v="0.2"/>
  </r>
  <r>
    <x v="490"/>
    <n v="2000000"/>
    <x v="0"/>
    <n v="0"/>
    <n v="1"/>
    <m/>
    <x v="10"/>
    <x v="1"/>
    <n v="0.2"/>
  </r>
  <r>
    <x v="491"/>
    <n v="2000000"/>
    <x v="0"/>
    <n v="0"/>
    <n v="1"/>
    <m/>
    <x v="10"/>
    <x v="1"/>
    <n v="0.2"/>
  </r>
  <r>
    <x v="492"/>
    <n v="2000000"/>
    <x v="0"/>
    <n v="0"/>
    <n v="1"/>
    <m/>
    <x v="10"/>
    <x v="1"/>
    <n v="0.2"/>
  </r>
  <r>
    <x v="493"/>
    <n v="2000000"/>
    <x v="0"/>
    <n v="0"/>
    <n v="1"/>
    <m/>
    <x v="10"/>
    <x v="1"/>
    <n v="0.2"/>
  </r>
  <r>
    <x v="494"/>
    <n v="2000000"/>
    <x v="0"/>
    <n v="0"/>
    <n v="1"/>
    <m/>
    <x v="10"/>
    <x v="1"/>
    <n v="0.2"/>
  </r>
  <r>
    <x v="495"/>
    <n v="2000000"/>
    <x v="0"/>
    <n v="0"/>
    <n v="1"/>
    <m/>
    <x v="10"/>
    <x v="1"/>
    <n v="0.2"/>
  </r>
  <r>
    <x v="496"/>
    <n v="2000000"/>
    <x v="0"/>
    <n v="0"/>
    <n v="1"/>
    <m/>
    <x v="10"/>
    <x v="1"/>
    <n v="0.2"/>
  </r>
  <r>
    <x v="497"/>
    <n v="2000000"/>
    <x v="0"/>
    <n v="0"/>
    <n v="1"/>
    <m/>
    <x v="10"/>
    <x v="1"/>
    <n v="0.2"/>
  </r>
  <r>
    <x v="498"/>
    <n v="2000000"/>
    <x v="0"/>
    <n v="0"/>
    <n v="1"/>
    <m/>
    <x v="10"/>
    <x v="1"/>
    <n v="0.2"/>
  </r>
  <r>
    <x v="499"/>
    <n v="2000000"/>
    <x v="0"/>
    <n v="0"/>
    <n v="1"/>
    <m/>
    <x v="10"/>
    <x v="1"/>
    <n v="0.2"/>
  </r>
  <r>
    <x v="500"/>
    <n v="2000000"/>
    <x v="3"/>
    <n v="0"/>
    <n v="1"/>
    <m/>
    <x v="10"/>
    <x v="1"/>
    <n v="0.2"/>
  </r>
  <r>
    <x v="501"/>
    <n v="2000000"/>
    <x v="3"/>
    <n v="0"/>
    <n v="1"/>
    <m/>
    <x v="10"/>
    <x v="1"/>
    <n v="0.2"/>
  </r>
  <r>
    <x v="502"/>
    <n v="2000000"/>
    <x v="3"/>
    <n v="0"/>
    <n v="1"/>
    <m/>
    <x v="10"/>
    <x v="1"/>
    <n v="0.2"/>
  </r>
  <r>
    <x v="503"/>
    <n v="2000000"/>
    <x v="3"/>
    <n v="0"/>
    <n v="1"/>
    <m/>
    <x v="10"/>
    <x v="1"/>
    <n v="0.2"/>
  </r>
  <r>
    <x v="504"/>
    <n v="2000000"/>
    <x v="3"/>
    <n v="0"/>
    <n v="1"/>
    <m/>
    <x v="10"/>
    <x v="1"/>
    <n v="0.2"/>
  </r>
  <r>
    <x v="505"/>
    <n v="2000000"/>
    <x v="3"/>
    <n v="0"/>
    <n v="1"/>
    <m/>
    <x v="10"/>
    <x v="1"/>
    <n v="0.2"/>
  </r>
  <r>
    <x v="506"/>
    <n v="2000000"/>
    <x v="3"/>
    <n v="0"/>
    <n v="1"/>
    <m/>
    <x v="10"/>
    <x v="1"/>
    <n v="0.2"/>
  </r>
  <r>
    <x v="507"/>
    <n v="2000000"/>
    <x v="3"/>
    <n v="0"/>
    <n v="1"/>
    <m/>
    <x v="10"/>
    <x v="1"/>
    <n v="0.2"/>
  </r>
  <r>
    <x v="508"/>
    <n v="2000000"/>
    <x v="3"/>
    <n v="0"/>
    <n v="1"/>
    <m/>
    <x v="10"/>
    <x v="1"/>
    <n v="0.2"/>
  </r>
  <r>
    <x v="509"/>
    <n v="2000000"/>
    <x v="3"/>
    <n v="0"/>
    <n v="1"/>
    <m/>
    <x v="10"/>
    <x v="1"/>
    <n v="0.2"/>
  </r>
  <r>
    <x v="510"/>
    <n v="2000000"/>
    <x v="0"/>
    <n v="0"/>
    <n v="1"/>
    <m/>
    <x v="10"/>
    <x v="1"/>
    <n v="0.2"/>
  </r>
  <r>
    <x v="511"/>
    <n v="2000000"/>
    <x v="0"/>
    <n v="0"/>
    <n v="1"/>
    <m/>
    <x v="10"/>
    <x v="1"/>
    <n v="0.2"/>
  </r>
  <r>
    <x v="512"/>
    <n v="2000000"/>
    <x v="0"/>
    <n v="0"/>
    <n v="1"/>
    <m/>
    <x v="10"/>
    <x v="1"/>
    <n v="0.2"/>
  </r>
  <r>
    <x v="513"/>
    <n v="2000000"/>
    <x v="0"/>
    <n v="0"/>
    <n v="1"/>
    <m/>
    <x v="10"/>
    <x v="1"/>
    <n v="0.2"/>
  </r>
  <r>
    <x v="514"/>
    <n v="2000000"/>
    <x v="0"/>
    <n v="0"/>
    <n v="1"/>
    <m/>
    <x v="10"/>
    <x v="1"/>
    <n v="0.2"/>
  </r>
  <r>
    <x v="515"/>
    <n v="2000000"/>
    <x v="0"/>
    <n v="0"/>
    <n v="1"/>
    <m/>
    <x v="10"/>
    <x v="1"/>
    <n v="0.2"/>
  </r>
  <r>
    <x v="516"/>
    <n v="2000000"/>
    <x v="0"/>
    <n v="0"/>
    <n v="1"/>
    <m/>
    <x v="10"/>
    <x v="1"/>
    <n v="0.2"/>
  </r>
  <r>
    <x v="517"/>
    <n v="2000000"/>
    <x v="0"/>
    <n v="0"/>
    <n v="1"/>
    <m/>
    <x v="10"/>
    <x v="1"/>
    <n v="0.2"/>
  </r>
  <r>
    <x v="518"/>
    <n v="2000000"/>
    <x v="0"/>
    <n v="0"/>
    <n v="1"/>
    <m/>
    <x v="10"/>
    <x v="1"/>
    <n v="0.2"/>
  </r>
  <r>
    <x v="519"/>
    <n v="2000000"/>
    <x v="0"/>
    <n v="0"/>
    <n v="1"/>
    <m/>
    <x v="10"/>
    <x v="1"/>
    <n v="0.2"/>
  </r>
  <r>
    <x v="520"/>
    <n v="2000000"/>
    <x v="0"/>
    <n v="0"/>
    <n v="1"/>
    <m/>
    <x v="10"/>
    <x v="1"/>
    <n v="0.2"/>
  </r>
  <r>
    <x v="521"/>
    <n v="2000000"/>
    <x v="0"/>
    <n v="0"/>
    <n v="1"/>
    <m/>
    <x v="10"/>
    <x v="1"/>
    <n v="0.2"/>
  </r>
  <r>
    <x v="522"/>
    <n v="2000000"/>
    <x v="3"/>
    <n v="0"/>
    <n v="1"/>
    <m/>
    <x v="10"/>
    <x v="1"/>
    <n v="0.2"/>
  </r>
  <r>
    <x v="523"/>
    <n v="2000000"/>
    <x v="3"/>
    <n v="0"/>
    <n v="1"/>
    <m/>
    <x v="10"/>
    <x v="1"/>
    <n v="0.2"/>
  </r>
  <r>
    <x v="524"/>
    <n v="2000000"/>
    <x v="3"/>
    <n v="0"/>
    <n v="1"/>
    <m/>
    <x v="10"/>
    <x v="1"/>
    <n v="0.2"/>
  </r>
  <r>
    <x v="525"/>
    <n v="2000000"/>
    <x v="3"/>
    <n v="0"/>
    <n v="1"/>
    <m/>
    <x v="10"/>
    <x v="1"/>
    <n v="0.2"/>
  </r>
  <r>
    <x v="526"/>
    <n v="2000000"/>
    <x v="3"/>
    <n v="0"/>
    <n v="1"/>
    <m/>
    <x v="10"/>
    <x v="1"/>
    <n v="0.2"/>
  </r>
  <r>
    <x v="527"/>
    <n v="2000000"/>
    <x v="3"/>
    <n v="0"/>
    <n v="1"/>
    <m/>
    <x v="10"/>
    <x v="1"/>
    <n v="0.2"/>
  </r>
  <r>
    <x v="528"/>
    <n v="2000000"/>
    <x v="3"/>
    <n v="0"/>
    <n v="1"/>
    <m/>
    <x v="10"/>
    <x v="1"/>
    <n v="0.2"/>
  </r>
  <r>
    <x v="529"/>
    <n v="2000000"/>
    <x v="3"/>
    <n v="0"/>
    <n v="1"/>
    <m/>
    <x v="10"/>
    <x v="1"/>
    <n v="0.2"/>
  </r>
  <r>
    <x v="530"/>
    <n v="2000000"/>
    <x v="3"/>
    <n v="0"/>
    <n v="1"/>
    <m/>
    <x v="10"/>
    <x v="1"/>
    <n v="0.2"/>
  </r>
  <r>
    <x v="531"/>
    <n v="2000000"/>
    <x v="3"/>
    <n v="0"/>
    <n v="1"/>
    <m/>
    <x v="10"/>
    <x v="1"/>
    <n v="0.2"/>
  </r>
  <r>
    <x v="532"/>
    <n v="2000000"/>
    <x v="3"/>
    <n v="0"/>
    <n v="1"/>
    <m/>
    <x v="10"/>
    <x v="1"/>
    <n v="0.2"/>
  </r>
  <r>
    <x v="392"/>
    <n v="2000000"/>
    <x v="3"/>
    <n v="0"/>
    <n v="1"/>
    <m/>
    <x v="10"/>
    <x v="1"/>
    <n v="0.2"/>
  </r>
  <r>
    <x v="533"/>
    <n v="2000000"/>
    <x v="3"/>
    <n v="0"/>
    <n v="1"/>
    <m/>
    <x v="10"/>
    <x v="1"/>
    <n v="0.2"/>
  </r>
  <r>
    <x v="534"/>
    <n v="2000000"/>
    <x v="3"/>
    <n v="0"/>
    <n v="1"/>
    <s v="RR"/>
    <x v="10"/>
    <x v="1"/>
    <n v="0.2"/>
  </r>
  <r>
    <x v="535"/>
    <n v="4000000"/>
    <x v="3"/>
    <n v="0"/>
    <n v="1"/>
    <s v="PBKS"/>
    <x v="10"/>
    <x v="1"/>
    <n v="0.4"/>
  </r>
  <r>
    <x v="536"/>
    <n v="2000000"/>
    <x v="3"/>
    <n v="0"/>
    <n v="1"/>
    <m/>
    <x v="10"/>
    <x v="1"/>
    <n v="0.2"/>
  </r>
  <r>
    <x v="537"/>
    <n v="2000000"/>
    <x v="3"/>
    <n v="0"/>
    <n v="1"/>
    <m/>
    <x v="10"/>
    <x v="1"/>
    <n v="0.2"/>
  </r>
  <r>
    <x v="538"/>
    <n v="2000000"/>
    <x v="3"/>
    <n v="0"/>
    <n v="1"/>
    <m/>
    <x v="10"/>
    <x v="1"/>
    <n v="0.2"/>
  </r>
  <r>
    <x v="539"/>
    <n v="2000000"/>
    <x v="3"/>
    <n v="0"/>
    <n v="1"/>
    <m/>
    <x v="10"/>
    <x v="1"/>
    <n v="0.2"/>
  </r>
  <r>
    <x v="326"/>
    <n v="2000000"/>
    <x v="3"/>
    <n v="0"/>
    <n v="1"/>
    <m/>
    <x v="10"/>
    <x v="1"/>
    <n v="0.2"/>
  </r>
  <r>
    <x v="540"/>
    <n v="2000000"/>
    <x v="3"/>
    <n v="0"/>
    <n v="1"/>
    <m/>
    <x v="10"/>
    <x v="1"/>
    <n v="0.2"/>
  </r>
  <r>
    <x v="541"/>
    <n v="2000000"/>
    <x v="3"/>
    <n v="0"/>
    <n v="1"/>
    <m/>
    <x v="10"/>
    <x v="1"/>
    <n v="0.2"/>
  </r>
  <r>
    <x v="542"/>
    <n v="2000000"/>
    <x v="3"/>
    <n v="0"/>
    <n v="1"/>
    <m/>
    <x v="10"/>
    <x v="1"/>
    <n v="0.2"/>
  </r>
  <r>
    <x v="543"/>
    <n v="2000000"/>
    <x v="3"/>
    <n v="0"/>
    <n v="1"/>
    <m/>
    <x v="10"/>
    <x v="1"/>
    <n v="0.2"/>
  </r>
  <r>
    <x v="544"/>
    <n v="2000000"/>
    <x v="3"/>
    <n v="0"/>
    <n v="1"/>
    <m/>
    <x v="10"/>
    <x v="1"/>
    <n v="0.2"/>
  </r>
  <r>
    <x v="545"/>
    <n v="2000000"/>
    <x v="3"/>
    <n v="0"/>
    <n v="1"/>
    <m/>
    <x v="10"/>
    <x v="1"/>
    <n v="0.2"/>
  </r>
  <r>
    <x v="546"/>
    <n v="2000000"/>
    <x v="3"/>
    <n v="0"/>
    <n v="1"/>
    <m/>
    <x v="10"/>
    <x v="1"/>
    <n v="0.2"/>
  </r>
  <r>
    <x v="547"/>
    <n v="2000000"/>
    <x v="3"/>
    <n v="0"/>
    <n v="1"/>
    <m/>
    <x v="10"/>
    <x v="1"/>
    <n v="0.2"/>
  </r>
  <r>
    <x v="548"/>
    <n v="2000000"/>
    <x v="3"/>
    <n v="0"/>
    <n v="1"/>
    <m/>
    <x v="10"/>
    <x v="1"/>
    <n v="0.2"/>
  </r>
  <r>
    <x v="549"/>
    <n v="2000000"/>
    <x v="3"/>
    <n v="0"/>
    <n v="1"/>
    <m/>
    <x v="10"/>
    <x v="1"/>
    <n v="0.2"/>
  </r>
  <r>
    <x v="550"/>
    <n v="2000000"/>
    <x v="3"/>
    <n v="0"/>
    <n v="1"/>
    <m/>
    <x v="10"/>
    <x v="1"/>
    <n v="0.2"/>
  </r>
  <r>
    <x v="551"/>
    <n v="2000000"/>
    <x v="3"/>
    <n v="0"/>
    <n v="1"/>
    <m/>
    <x v="10"/>
    <x v="1"/>
    <n v="0.2"/>
  </r>
  <r>
    <x v="552"/>
    <n v="2000000"/>
    <x v="3"/>
    <n v="0"/>
    <n v="1"/>
    <m/>
    <x v="10"/>
    <x v="1"/>
    <n v="0.2"/>
  </r>
  <r>
    <x v="553"/>
    <n v="2000000"/>
    <x v="3"/>
    <n v="0"/>
    <n v="1"/>
    <m/>
    <x v="10"/>
    <x v="1"/>
    <n v="0.2"/>
  </r>
  <r>
    <x v="554"/>
    <n v="2000000"/>
    <x v="3"/>
    <n v="0"/>
    <n v="1"/>
    <m/>
    <x v="10"/>
    <x v="1"/>
    <n v="0.2"/>
  </r>
  <r>
    <x v="555"/>
    <n v="2000000"/>
    <x v="3"/>
    <n v="0"/>
    <n v="1"/>
    <m/>
    <x v="10"/>
    <x v="1"/>
    <n v="0.2"/>
  </r>
  <r>
    <x v="556"/>
    <n v="2000000"/>
    <x v="3"/>
    <n v="0"/>
    <n v="1"/>
    <m/>
    <x v="10"/>
    <x v="1"/>
    <n v="0.2"/>
  </r>
  <r>
    <x v="557"/>
    <n v="2000000"/>
    <x v="3"/>
    <n v="0"/>
    <n v="1"/>
    <m/>
    <x v="10"/>
    <x v="1"/>
    <n v="0.2"/>
  </r>
  <r>
    <x v="558"/>
    <n v="2000000"/>
    <x v="3"/>
    <n v="0"/>
    <n v="1"/>
    <m/>
    <x v="10"/>
    <x v="1"/>
    <n v="0.2"/>
  </r>
  <r>
    <x v="559"/>
    <n v="2000000"/>
    <x v="3"/>
    <n v="0"/>
    <n v="1"/>
    <m/>
    <x v="10"/>
    <x v="1"/>
    <n v="0.2"/>
  </r>
  <r>
    <x v="560"/>
    <n v="2000000"/>
    <x v="3"/>
    <n v="0"/>
    <n v="1"/>
    <m/>
    <x v="10"/>
    <x v="1"/>
    <n v="0.2"/>
  </r>
  <r>
    <x v="561"/>
    <n v="2000000"/>
    <x v="3"/>
    <n v="0"/>
    <n v="1"/>
    <m/>
    <x v="10"/>
    <x v="1"/>
    <n v="0.2"/>
  </r>
  <r>
    <x v="562"/>
    <n v="2000000"/>
    <x v="3"/>
    <n v="0"/>
    <n v="1"/>
    <m/>
    <x v="10"/>
    <x v="1"/>
    <n v="0.2"/>
  </r>
  <r>
    <x v="563"/>
    <n v="2000000"/>
    <x v="3"/>
    <n v="0"/>
    <n v="1"/>
    <m/>
    <x v="10"/>
    <x v="1"/>
    <n v="0.2"/>
  </r>
  <r>
    <x v="564"/>
    <n v="2000000"/>
    <x v="3"/>
    <n v="0"/>
    <n v="1"/>
    <m/>
    <x v="10"/>
    <x v="1"/>
    <n v="0.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5B616CF-DEDA-4521-8DA0-D92466718B7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3:B14" firstHeaderRow="1" firstDataRow="1" firstDataCol="1" rowPageCount="1" colPageCount="1"/>
  <pivotFields count="9">
    <pivotField showAll="0"/>
    <pivotField showAll="0"/>
    <pivotField showAll="0">
      <items count="5">
        <item x="3"/>
        <item x="1"/>
        <item x="0"/>
        <item x="2"/>
        <item t="default"/>
      </items>
    </pivotField>
    <pivotField dataField="1" showAll="0"/>
    <pivotField showAll="0"/>
    <pivotField showAll="0"/>
    <pivotField axis="axisRow" showAll="0" sortType="ascending">
      <items count="12">
        <item x="10"/>
        <item x="9"/>
        <item x="7"/>
        <item x="8"/>
        <item x="4"/>
        <item x="6"/>
        <item x="5"/>
        <item x="3"/>
        <item x="0"/>
        <item x="2"/>
        <item x="1"/>
        <item t="default"/>
      </items>
      <autoSortScope>
        <pivotArea dataOnly="0" outline="0" fieldPosition="0">
          <references count="1">
            <reference field="4294967294" count="1" selected="0">
              <x v="0"/>
            </reference>
          </references>
        </pivotArea>
      </autoSortScope>
    </pivotField>
    <pivotField axis="axisPage" showAll="0">
      <items count="3">
        <item x="0"/>
        <item x="1"/>
        <item t="default"/>
      </items>
    </pivotField>
    <pivotField showAll="0"/>
  </pivotFields>
  <rowFields count="1">
    <field x="6"/>
  </rowFields>
  <rowItems count="11">
    <i>
      <x v="7"/>
    </i>
    <i>
      <x v="2"/>
    </i>
    <i>
      <x v="3"/>
    </i>
    <i>
      <x v="8"/>
    </i>
    <i>
      <x v="9"/>
    </i>
    <i>
      <x v="10"/>
    </i>
    <i>
      <x v="6"/>
    </i>
    <i>
      <x v="4"/>
    </i>
    <i>
      <x v="5"/>
    </i>
    <i>
      <x v="1"/>
    </i>
    <i t="grand">
      <x/>
    </i>
  </rowItems>
  <colItems count="1">
    <i/>
  </colItems>
  <pageFields count="1">
    <pageField fld="7" item="0" hier="-1"/>
  </pageFields>
  <dataFields count="1">
    <dataField name="Sum of Cost_INR_Cr" fld="3" baseField="0" baseItem="0"/>
  </dataFields>
  <chartFormats count="1">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75CDCD2-331D-40AA-9D8D-CC1FDAEEFE5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J3:K14" firstHeaderRow="1" firstDataRow="1" firstDataCol="1"/>
  <pivotFields count="9">
    <pivotField axis="axisRow" showAll="0" measureFilter="1" sortType="ascending">
      <items count="566">
        <item x="208"/>
        <item x="323"/>
        <item x="127"/>
        <item x="456"/>
        <item x="209"/>
        <item x="125"/>
        <item x="371"/>
        <item x="60"/>
        <item x="11"/>
        <item x="437"/>
        <item x="13"/>
        <item x="297"/>
        <item x="168"/>
        <item x="275"/>
        <item x="234"/>
        <item x="387"/>
        <item x="179"/>
        <item x="319"/>
        <item x="221"/>
        <item x="381"/>
        <item x="150"/>
        <item x="310"/>
        <item x="296"/>
        <item x="181"/>
        <item x="496"/>
        <item x="14"/>
        <item x="101"/>
        <item x="61"/>
        <item x="464"/>
        <item x="89"/>
        <item x="499"/>
        <item x="87"/>
        <item x="411"/>
        <item x="436"/>
        <item x="78"/>
        <item x="507"/>
        <item x="6"/>
        <item x="226"/>
        <item x="233"/>
        <item x="86"/>
        <item x="417"/>
        <item x="36"/>
        <item x="488"/>
        <item x="158"/>
        <item x="517"/>
        <item x="206"/>
        <item x="267"/>
        <item x="285"/>
        <item x="402"/>
        <item x="243"/>
        <item x="85"/>
        <item x="159"/>
        <item x="462"/>
        <item x="322"/>
        <item x="277"/>
        <item x="440"/>
        <item x="367"/>
        <item x="248"/>
        <item x="236"/>
        <item x="59"/>
        <item x="126"/>
        <item x="82"/>
        <item x="182"/>
        <item x="313"/>
        <item x="302"/>
        <item x="156"/>
        <item x="372"/>
        <item x="83"/>
        <item x="539"/>
        <item x="260"/>
        <item x="368"/>
        <item x="357"/>
        <item x="38"/>
        <item x="173"/>
        <item x="406"/>
        <item x="39"/>
        <item x="98"/>
        <item x="432"/>
        <item x="183"/>
        <item x="15"/>
        <item x="546"/>
        <item x="508"/>
        <item x="552"/>
        <item x="249"/>
        <item x="514"/>
        <item x="534"/>
        <item x="500"/>
        <item x="84"/>
        <item x="264"/>
        <item x="295"/>
        <item x="444"/>
        <item x="102"/>
        <item x="326"/>
        <item x="0"/>
        <item x="40"/>
        <item x="355"/>
        <item x="478"/>
        <item x="205"/>
        <item x="113"/>
        <item x="269"/>
        <item x="306"/>
        <item x="412"/>
        <item x="538"/>
        <item x="256"/>
        <item x="88"/>
        <item x="547"/>
        <item x="148"/>
        <item x="75"/>
        <item x="31"/>
        <item x="284"/>
        <item x="112"/>
        <item x="461"/>
        <item x="288"/>
        <item x="177"/>
        <item x="337"/>
        <item x="405"/>
        <item x="423"/>
        <item x="255"/>
        <item x="321"/>
        <item x="63"/>
        <item x="230"/>
        <item x="202"/>
        <item x="396"/>
        <item x="369"/>
        <item x="431"/>
        <item x="345"/>
        <item x="281"/>
        <item x="526"/>
        <item x="557"/>
        <item x="487"/>
        <item x="228"/>
        <item x="97"/>
        <item x="529"/>
        <item x="386"/>
        <item x="530"/>
        <item x="525"/>
        <item x="563"/>
        <item x="290"/>
        <item x="320"/>
        <item x="265"/>
        <item x="35"/>
        <item x="497"/>
        <item x="64"/>
        <item x="472"/>
        <item x="124"/>
        <item x="155"/>
        <item x="486"/>
        <item x="430"/>
        <item x="250"/>
        <item x="395"/>
        <item x="375"/>
        <item x="203"/>
        <item x="506"/>
        <item x="118"/>
        <item x="57"/>
        <item x="555"/>
        <item x="55"/>
        <item x="96"/>
        <item x="279"/>
        <item x="51"/>
        <item x="304"/>
        <item x="347"/>
        <item x="433"/>
        <item x="327"/>
        <item x="169"/>
        <item x="32"/>
        <item x="495"/>
        <item x="312"/>
        <item x="388"/>
        <item x="135"/>
        <item x="516"/>
        <item x="271"/>
        <item x="385"/>
        <item x="9"/>
        <item x="519"/>
        <item x="152"/>
        <item x="545"/>
        <item x="33"/>
        <item x="558"/>
        <item x="494"/>
        <item x="520"/>
        <item x="175"/>
        <item x="540"/>
        <item x="170"/>
        <item x="117"/>
        <item x="232"/>
        <item x="7"/>
        <item x="356"/>
        <item x="114"/>
        <item x="435"/>
        <item x="95"/>
        <item x="473"/>
        <item x="147"/>
        <item x="10"/>
        <item x="204"/>
        <item x="133"/>
        <item x="338"/>
        <item x="532"/>
        <item x="485"/>
        <item x="292"/>
        <item x="377"/>
        <item x="353"/>
        <item x="428"/>
        <item x="254"/>
        <item x="393"/>
        <item x="58"/>
        <item x="392"/>
        <item x="544"/>
        <item x="128"/>
        <item x="564"/>
        <item x="434"/>
        <item x="56"/>
        <item x="207"/>
        <item x="34"/>
        <item x="438"/>
        <item x="543"/>
        <item x="8"/>
        <item x="116"/>
        <item x="146"/>
        <item x="53"/>
        <item x="324"/>
        <item x="476"/>
        <item x="318"/>
        <item x="270"/>
        <item x="332"/>
        <item x="463"/>
        <item x="459"/>
        <item x="5"/>
        <item x="217"/>
        <item x="12"/>
        <item x="94"/>
        <item x="227"/>
        <item x="27"/>
        <item x="441"/>
        <item x="119"/>
        <item x="149"/>
        <item x="122"/>
        <item x="215"/>
        <item x="493"/>
        <item x="108"/>
        <item x="413"/>
        <item x="384"/>
        <item x="524"/>
        <item x="336"/>
        <item x="153"/>
        <item x="77"/>
        <item x="62"/>
        <item x="394"/>
        <item x="201"/>
        <item x="490"/>
        <item x="50"/>
        <item x="37"/>
        <item x="262"/>
        <item x="247"/>
        <item x="49"/>
        <item x="403"/>
        <item x="132"/>
        <item x="4"/>
        <item x="100"/>
        <item x="458"/>
        <item x="521"/>
        <item x="154"/>
        <item x="448"/>
        <item x="178"/>
        <item x="257"/>
        <item x="24"/>
        <item x="273"/>
        <item x="47"/>
        <item x="378"/>
        <item x="48"/>
        <item x="74"/>
        <item x="363"/>
        <item x="340"/>
        <item x="513"/>
        <item x="131"/>
        <item x="225"/>
        <item x="223"/>
        <item x="219"/>
        <item x="22"/>
        <item x="556"/>
        <item x="354"/>
        <item x="415"/>
        <item x="41"/>
        <item x="129"/>
        <item x="130"/>
        <item x="231"/>
        <item x="172"/>
        <item x="52"/>
        <item x="80"/>
        <item x="401"/>
        <item x="134"/>
        <item x="449"/>
        <item x="176"/>
        <item x="46"/>
        <item x="427"/>
        <item x="366"/>
        <item x="309"/>
        <item x="71"/>
        <item x="389"/>
        <item x="352"/>
        <item x="287"/>
        <item x="484"/>
        <item x="93"/>
        <item x="79"/>
        <item x="103"/>
        <item x="261"/>
        <item x="65"/>
        <item x="398"/>
        <item x="457"/>
        <item x="348"/>
        <item x="143"/>
        <item x="26"/>
        <item x="244"/>
        <item x="198"/>
        <item x="373"/>
        <item x="157"/>
        <item x="424"/>
        <item x="81"/>
        <item x="216"/>
        <item x="72"/>
        <item x="214"/>
        <item x="141"/>
        <item x="498"/>
        <item x="142"/>
        <item x="308"/>
        <item x="523"/>
        <item x="475"/>
        <item x="477"/>
        <item x="331"/>
        <item x="235"/>
        <item x="325"/>
        <item x="180"/>
        <item x="474"/>
        <item x="140"/>
        <item x="469"/>
        <item x="2"/>
        <item x="73"/>
        <item x="110"/>
        <item x="3"/>
        <item x="197"/>
        <item x="210"/>
        <item x="139"/>
        <item x="286"/>
        <item x="1"/>
        <item x="192"/>
        <item x="213"/>
        <item x="443"/>
        <item x="527"/>
        <item x="109"/>
        <item x="282"/>
        <item x="167"/>
        <item x="195"/>
        <item x="107"/>
        <item x="505"/>
        <item x="274"/>
        <item x="145"/>
        <item x="121"/>
        <item x="23"/>
        <item x="165"/>
        <item x="333"/>
        <item x="193"/>
        <item x="166"/>
        <item x="344"/>
        <item x="480"/>
        <item x="303"/>
        <item x="561"/>
        <item x="266"/>
        <item x="54"/>
        <item x="315"/>
        <item x="164"/>
        <item x="289"/>
        <item x="160"/>
        <item x="252"/>
        <item x="174"/>
        <item x="294"/>
        <item x="362"/>
        <item x="492"/>
        <item x="220"/>
        <item x="528"/>
        <item x="90"/>
        <item x="190"/>
        <item x="439"/>
        <item x="335"/>
        <item x="218"/>
        <item x="111"/>
        <item x="99"/>
        <item x="16"/>
        <item x="460"/>
        <item x="334"/>
        <item x="515"/>
        <item x="422"/>
        <item x="420"/>
        <item x="242"/>
        <item x="191"/>
        <item x="299"/>
        <item x="342"/>
        <item x="465"/>
        <item x="551"/>
        <item x="364"/>
        <item x="184"/>
        <item x="450"/>
        <item x="237"/>
        <item x="189"/>
        <item x="470"/>
        <item x="300"/>
        <item x="361"/>
        <item x="466"/>
        <item x="45"/>
        <item x="278"/>
        <item x="410"/>
        <item x="151"/>
        <item x="196"/>
        <item x="341"/>
        <item x="559"/>
        <item x="531"/>
        <item x="188"/>
        <item x="258"/>
        <item x="349"/>
        <item x="542"/>
        <item x="560"/>
        <item x="211"/>
        <item x="416"/>
        <item x="409"/>
        <item x="163"/>
        <item x="42"/>
        <item x="212"/>
        <item x="504"/>
        <item x="533"/>
        <item x="536"/>
        <item x="452"/>
        <item x="136"/>
        <item x="43"/>
        <item x="268"/>
        <item x="185"/>
        <item x="76"/>
        <item x="70"/>
        <item x="418"/>
        <item x="21"/>
        <item x="276"/>
        <item x="414"/>
        <item x="272"/>
        <item x="20"/>
        <item x="408"/>
        <item x="120"/>
        <item x="407"/>
        <item x="253"/>
        <item x="447"/>
        <item x="446"/>
        <item x="328"/>
        <item x="330"/>
        <item x="245"/>
        <item x="481"/>
        <item x="425"/>
        <item x="263"/>
        <item x="251"/>
        <item x="69"/>
        <item x="339"/>
        <item x="343"/>
        <item x="471"/>
        <item x="144"/>
        <item x="358"/>
        <item x="329"/>
        <item x="280"/>
        <item x="454"/>
        <item x="350"/>
        <item x="399"/>
        <item x="241"/>
        <item x="380"/>
        <item x="106"/>
        <item x="360"/>
        <item x="483"/>
        <item x="29"/>
        <item x="535"/>
        <item x="25"/>
        <item x="346"/>
        <item x="383"/>
        <item x="317"/>
        <item x="419"/>
        <item x="511"/>
        <item x="104"/>
        <item x="305"/>
        <item x="501"/>
        <item x="455"/>
        <item x="442"/>
        <item x="17"/>
        <item x="503"/>
        <item x="429"/>
        <item x="137"/>
        <item x="548"/>
        <item x="66"/>
        <item x="509"/>
        <item x="171"/>
        <item x="138"/>
        <item x="489"/>
        <item x="365"/>
        <item x="105"/>
        <item x="522"/>
        <item x="453"/>
        <item x="518"/>
        <item x="291"/>
        <item x="479"/>
        <item x="491"/>
        <item x="468"/>
        <item x="510"/>
        <item x="314"/>
        <item x="307"/>
        <item x="115"/>
        <item x="426"/>
        <item x="161"/>
        <item x="537"/>
        <item x="298"/>
        <item x="541"/>
        <item x="91"/>
        <item x="186"/>
        <item x="390"/>
        <item x="502"/>
        <item x="67"/>
        <item x="229"/>
        <item x="374"/>
        <item x="445"/>
        <item x="391"/>
        <item x="421"/>
        <item x="311"/>
        <item x="351"/>
        <item x="92"/>
        <item x="283"/>
        <item x="553"/>
        <item x="549"/>
        <item x="123"/>
        <item x="554"/>
        <item x="44"/>
        <item x="359"/>
        <item x="400"/>
        <item x="68"/>
        <item x="18"/>
        <item x="397"/>
        <item x="550"/>
        <item x="451"/>
        <item x="482"/>
        <item x="293"/>
        <item x="224"/>
        <item x="200"/>
        <item x="316"/>
        <item x="162"/>
        <item x="187"/>
        <item x="370"/>
        <item x="28"/>
        <item x="467"/>
        <item x="30"/>
        <item x="240"/>
        <item x="376"/>
        <item x="404"/>
        <item x="562"/>
        <item x="222"/>
        <item x="194"/>
        <item x="246"/>
        <item x="379"/>
        <item x="301"/>
        <item x="239"/>
        <item x="19"/>
        <item x="259"/>
        <item x="382"/>
        <item x="238"/>
        <item x="199"/>
        <item x="512"/>
        <item t="default"/>
      </items>
      <autoSortScope>
        <pivotArea dataOnly="0" outline="0" fieldPosition="0">
          <references count="1">
            <reference field="4294967294" count="1" selected="0">
              <x v="0"/>
            </reference>
          </references>
        </pivotArea>
      </autoSortScope>
    </pivotField>
    <pivotField showAll="0"/>
    <pivotField showAll="0">
      <items count="5">
        <item x="3"/>
        <item x="1"/>
        <item x="0"/>
        <item x="2"/>
        <item t="default"/>
      </items>
    </pivotField>
    <pivotField dataField="1" showAll="0"/>
    <pivotField showAll="0"/>
    <pivotField showAll="0"/>
    <pivotField showAll="0">
      <items count="12">
        <item x="1"/>
        <item x="2"/>
        <item x="0"/>
        <item x="3"/>
        <item x="5"/>
        <item x="6"/>
        <item x="4"/>
        <item x="8"/>
        <item x="7"/>
        <item x="9"/>
        <item x="10"/>
        <item t="default"/>
      </items>
    </pivotField>
    <pivotField showAll="0"/>
    <pivotField showAll="0"/>
  </pivotFields>
  <rowFields count="1">
    <field x="0"/>
  </rowFields>
  <rowItems count="11">
    <i>
      <x v="377"/>
    </i>
    <i>
      <x v="250"/>
    </i>
    <i>
      <x v="360"/>
    </i>
    <i>
      <x v="93"/>
    </i>
    <i>
      <x v="277"/>
    </i>
    <i>
      <x v="383"/>
    </i>
    <i>
      <x v="234"/>
    </i>
    <i>
      <x v="473"/>
    </i>
    <i>
      <x v="459"/>
    </i>
    <i>
      <x v="131"/>
    </i>
    <i t="grand">
      <x/>
    </i>
  </rowItems>
  <colItems count="1">
    <i/>
  </colItems>
  <dataFields count="1">
    <dataField name="Max of Cost_INR_Cr" fld="3" subtotal="max" baseField="0" baseItem="0"/>
  </dataFields>
  <chartFormats count="1">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49683CB-23A7-4EAC-8970-1A83F893EAC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D17:E20" firstHeaderRow="1" firstDataRow="1" firstDataCol="1"/>
  <pivotFields count="9">
    <pivotField dataField="1" showAll="0"/>
    <pivotField showAll="0"/>
    <pivotField showAll="0">
      <items count="5">
        <item x="3"/>
        <item x="1"/>
        <item x="0"/>
        <item x="2"/>
        <item t="default"/>
      </items>
    </pivotField>
    <pivotField showAll="0"/>
    <pivotField showAll="0"/>
    <pivotField showAll="0"/>
    <pivotField showAll="0">
      <items count="12">
        <item x="1"/>
        <item x="2"/>
        <item x="0"/>
        <item x="3"/>
        <item x="5"/>
        <item x="6"/>
        <item x="4"/>
        <item x="8"/>
        <item x="7"/>
        <item x="9"/>
        <item x="10"/>
        <item t="default"/>
      </items>
    </pivotField>
    <pivotField axis="axisRow" showAll="0">
      <items count="3">
        <item x="0"/>
        <item x="1"/>
        <item t="default"/>
      </items>
    </pivotField>
    <pivotField showAll="0"/>
  </pivotFields>
  <rowFields count="1">
    <field x="7"/>
  </rowFields>
  <rowItems count="3">
    <i>
      <x/>
    </i>
    <i>
      <x v="1"/>
    </i>
    <i t="grand">
      <x/>
    </i>
  </rowItems>
  <colItems count="1">
    <i/>
  </colItems>
  <dataFields count="1">
    <dataField name="Count of Player" fld="0" subtotal="count" baseField="0" baseItem="0"/>
  </dataFields>
  <chartFormats count="3">
    <chartFormat chart="10" format="6" series="1">
      <pivotArea type="data" outline="0" fieldPosition="0">
        <references count="1">
          <reference field="4294967294" count="1" selected="0">
            <x v="0"/>
          </reference>
        </references>
      </pivotArea>
    </chartFormat>
    <chartFormat chart="10" format="7">
      <pivotArea type="data" outline="0" fieldPosition="0">
        <references count="2">
          <reference field="4294967294" count="1" selected="0">
            <x v="0"/>
          </reference>
          <reference field="7" count="1" selected="0">
            <x v="0"/>
          </reference>
        </references>
      </pivotArea>
    </chartFormat>
    <chartFormat chart="10" format="8">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302AC66-FC0F-4288-ABBE-36C2B1BE4F2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E3:F8" firstHeaderRow="1" firstDataRow="1" firstDataCol="1"/>
  <pivotFields count="9">
    <pivotField dataField="1" showAll="0"/>
    <pivotField showAll="0"/>
    <pivotField axis="axisRow" showAll="0">
      <items count="5">
        <item x="3"/>
        <item x="1"/>
        <item x="0"/>
        <item x="2"/>
        <item t="default"/>
      </items>
    </pivotField>
    <pivotField showAll="0"/>
    <pivotField showAll="0"/>
    <pivotField showAll="0"/>
    <pivotField showAll="0">
      <items count="12">
        <item x="1"/>
        <item x="2"/>
        <item x="0"/>
        <item x="3"/>
        <item x="5"/>
        <item x="6"/>
        <item x="4"/>
        <item x="8"/>
        <item x="7"/>
        <item x="9"/>
        <item x="10"/>
        <item t="default"/>
      </items>
    </pivotField>
    <pivotField showAll="0"/>
    <pivotField showAll="0"/>
  </pivotFields>
  <rowFields count="1">
    <field x="2"/>
  </rowFields>
  <rowItems count="5">
    <i>
      <x/>
    </i>
    <i>
      <x v="1"/>
    </i>
    <i>
      <x v="2"/>
    </i>
    <i>
      <x v="3"/>
    </i>
    <i t="grand">
      <x/>
    </i>
  </rowItems>
  <colItems count="1">
    <i/>
  </colItems>
  <dataFields count="1">
    <dataField name="Count of Player" fld="0" subtotal="count" baseField="0" baseItem="0"/>
  </dataFields>
  <chartFormats count="5">
    <chartFormat chart="7" format="10" series="1">
      <pivotArea type="data" outline="0" fieldPosition="0">
        <references count="1">
          <reference field="4294967294" count="1" selected="0">
            <x v="0"/>
          </reference>
        </references>
      </pivotArea>
    </chartFormat>
    <chartFormat chart="7" format="11">
      <pivotArea type="data" outline="0" fieldPosition="0">
        <references count="2">
          <reference field="4294967294" count="1" selected="0">
            <x v="0"/>
          </reference>
          <reference field="2" count="1" selected="0">
            <x v="0"/>
          </reference>
        </references>
      </pivotArea>
    </chartFormat>
    <chartFormat chart="7" format="12">
      <pivotArea type="data" outline="0" fieldPosition="0">
        <references count="2">
          <reference field="4294967294" count="1" selected="0">
            <x v="0"/>
          </reference>
          <reference field="2" count="1" selected="0">
            <x v="1"/>
          </reference>
        </references>
      </pivotArea>
    </chartFormat>
    <chartFormat chart="7" format="13">
      <pivotArea type="data" outline="0" fieldPosition="0">
        <references count="2">
          <reference field="4294967294" count="1" selected="0">
            <x v="0"/>
          </reference>
          <reference field="2" count="1" selected="0">
            <x v="2"/>
          </reference>
        </references>
      </pivotArea>
    </chartFormat>
    <chartFormat chart="7" format="14">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YPE" xr10:uid="{D1322243-DEAF-4E36-AB03-5699133EAD7B}" sourceName="TYPE">
  <pivotTables>
    <pivotTable tabId="2" name="PivotTable1"/>
    <pivotTable tabId="2" name="PivotTable2"/>
    <pivotTable tabId="2" name="PivotTable3"/>
    <pivotTable tabId="2" name="PivotTable4"/>
  </pivotTables>
  <data>
    <tabular pivotCacheId="440704099">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am" xr10:uid="{DBE09284-2132-422F-8476-8F5C679B9E92}" sourceName="Team">
  <pivotTables>
    <pivotTable tabId="2" name="PivotTable1"/>
    <pivotTable tabId="2" name="PivotTable2"/>
    <pivotTable tabId="2" name="PivotTable3"/>
    <pivotTable tabId="2" name="PivotTable4"/>
  </pivotTables>
  <data>
    <tabular pivotCacheId="440704099">
      <items count="11">
        <i x="1" s="1"/>
        <i x="2" s="1"/>
        <i x="0" s="1"/>
        <i x="3" s="1"/>
        <i x="5" s="1"/>
        <i x="6" s="1"/>
        <i x="4" s="1"/>
        <i x="8" s="1"/>
        <i x="7" s="1"/>
        <i x="9" s="1"/>
        <i x="1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YPE" xr10:uid="{7AB6E0D4-11BE-42DA-9D4E-4E2EE292FBE1}" cache="Slicer_TYPE" caption="TYPE" style="Slicer Style 1" rowHeight="234950"/>
  <slicer name="Team" xr10:uid="{BC58D176-5C0E-485E-8602-98987FED9D68}" cache="Slicer_Team" caption="Team" style="Slicer Style 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A695861-282F-416C-93C5-61111E1EB43E}" name="IPLData" displayName="IPLData" ref="A1:I569" totalsRowShown="0" headerRowDxfId="10" dataDxfId="9">
  <autoFilter ref="A1:I569" xr:uid="{8A695861-282F-416C-93C5-61111E1EB43E}"/>
  <tableColumns count="9">
    <tableColumn id="1" xr3:uid="{7F414B94-1A9C-47F1-BF99-1871FAB9D908}" name="Player" dataDxfId="8"/>
    <tableColumn id="2" xr3:uid="{AF0883BF-B37A-41CF-9861-ED64DC23C876}" name="Base_Price" dataDxfId="7"/>
    <tableColumn id="3" xr3:uid="{84E82793-1950-4D1A-888E-1DCD704A7C12}" name="TYPE" dataDxfId="6"/>
    <tableColumn id="4" xr3:uid="{9F691E79-EFCD-4E2C-B6BE-E36746B07C8B}" name="Cost_INR_Cr" dataDxfId="5"/>
    <tableColumn id="5" xr3:uid="{283AF5FA-E6E3-4DBC-AE28-1E80E9B14480}" name="Cost_INR_Cr2" dataDxfId="4"/>
    <tableColumn id="6" xr3:uid="{15776043-B0ED-4D1D-BD2E-C893A0460763}" name="Prev_Team" dataDxfId="3"/>
    <tableColumn id="7" xr3:uid="{BFCDB449-0643-448B-88B6-02B85FBAFA87}" name="Team" dataDxfId="2"/>
    <tableColumn id="8" xr3:uid="{2CFCA9D7-1BEA-483E-B913-D3CAA108CF0B}" name="Status" dataDxfId="1"/>
    <tableColumn id="9" xr3:uid="{216D7A60-D669-4BB0-8E3F-0A8CADD000C0}" name="Base_Price_Cr" dataDxfId="0"/>
  </tableColumns>
  <tableStyleInfo name="TableStyleMedium1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3753C7-3542-4BD8-919E-49BD2B3FBABC}">
  <dimension ref="A1:I569"/>
  <sheetViews>
    <sheetView topLeftCell="A2" workbookViewId="0">
      <selection activeCell="A3" sqref="A3"/>
    </sheetView>
  </sheetViews>
  <sheetFormatPr defaultRowHeight="14.4"/>
  <cols>
    <col min="1" max="1" width="15.88671875" customWidth="1"/>
    <col min="2" max="2" width="13.44140625" customWidth="1"/>
    <col min="3" max="3" width="14.6640625" customWidth="1"/>
    <col min="4" max="4" width="15.109375" customWidth="1"/>
    <col min="5" max="5" width="15" customWidth="1"/>
    <col min="6" max="6" width="14.44140625" customWidth="1"/>
    <col min="7" max="7" width="17.5546875" customWidth="1"/>
    <col min="8" max="8" width="11.5546875" customWidth="1"/>
    <col min="9" max="9" width="14.6640625" customWidth="1"/>
  </cols>
  <sheetData>
    <row r="1" spans="1:9">
      <c r="A1" s="1" t="s">
        <v>0</v>
      </c>
      <c r="B1" s="1" t="s">
        <v>1</v>
      </c>
      <c r="C1" s="1" t="s">
        <v>2</v>
      </c>
      <c r="D1" s="1" t="s">
        <v>3</v>
      </c>
      <c r="E1" s="1" t="s">
        <v>4</v>
      </c>
      <c r="F1" s="1" t="s">
        <v>5</v>
      </c>
      <c r="G1" s="1" t="s">
        <v>6</v>
      </c>
      <c r="H1" s="1" t="s">
        <v>7</v>
      </c>
      <c r="I1" s="1" t="s">
        <v>8</v>
      </c>
    </row>
    <row r="2" spans="1:9">
      <c r="A2" s="2" t="s">
        <v>9</v>
      </c>
      <c r="B2" s="2">
        <v>4000000</v>
      </c>
      <c r="C2" s="2" t="s">
        <v>10</v>
      </c>
      <c r="D2" s="2">
        <v>6</v>
      </c>
      <c r="E2" s="2">
        <v>7</v>
      </c>
      <c r="F2" s="2" t="s">
        <v>11</v>
      </c>
      <c r="G2" s="2" t="s">
        <v>12</v>
      </c>
      <c r="H2" s="2" t="s">
        <v>13</v>
      </c>
      <c r="I2" s="2">
        <v>0.4</v>
      </c>
    </row>
    <row r="3" spans="1:9">
      <c r="A3" s="3" t="s">
        <v>14</v>
      </c>
      <c r="B3" s="3">
        <v>5000000</v>
      </c>
      <c r="C3" s="3" t="s">
        <v>10</v>
      </c>
      <c r="D3" s="3">
        <v>4.4000000000000004</v>
      </c>
      <c r="E3" s="3">
        <v>5.4</v>
      </c>
      <c r="F3" s="3"/>
      <c r="G3" s="3" t="s">
        <v>12</v>
      </c>
      <c r="H3" s="3" t="s">
        <v>13</v>
      </c>
      <c r="I3" s="3">
        <v>0.5</v>
      </c>
    </row>
    <row r="4" spans="1:9">
      <c r="A4" s="2" t="s">
        <v>15</v>
      </c>
      <c r="B4" s="2">
        <v>20000000</v>
      </c>
      <c r="C4" s="2" t="s">
        <v>16</v>
      </c>
      <c r="D4" s="2">
        <v>2</v>
      </c>
      <c r="E4" s="2">
        <v>3</v>
      </c>
      <c r="F4" s="2" t="s">
        <v>17</v>
      </c>
      <c r="G4" s="2" t="s">
        <v>12</v>
      </c>
      <c r="H4" s="2" t="s">
        <v>13</v>
      </c>
      <c r="I4" s="2">
        <v>2</v>
      </c>
    </row>
    <row r="5" spans="1:9">
      <c r="A5" s="3" t="s">
        <v>18</v>
      </c>
      <c r="B5" s="3">
        <v>2000000</v>
      </c>
      <c r="C5" s="3" t="s">
        <v>19</v>
      </c>
      <c r="D5" s="3">
        <v>1.2</v>
      </c>
      <c r="E5" s="3">
        <v>2.2000000000000002</v>
      </c>
      <c r="F5" s="3" t="s">
        <v>20</v>
      </c>
      <c r="G5" s="3" t="s">
        <v>12</v>
      </c>
      <c r="H5" s="3" t="s">
        <v>13</v>
      </c>
      <c r="I5" s="3">
        <v>0.2</v>
      </c>
    </row>
    <row r="6" spans="1:9">
      <c r="A6" s="2" t="s">
        <v>21</v>
      </c>
      <c r="B6" s="2">
        <v>5000000</v>
      </c>
      <c r="C6" s="2" t="s">
        <v>10</v>
      </c>
      <c r="D6" s="2">
        <v>0.5</v>
      </c>
      <c r="E6" s="2">
        <v>1.5</v>
      </c>
      <c r="F6" s="2"/>
      <c r="G6" s="2" t="s">
        <v>12</v>
      </c>
      <c r="H6" s="2" t="s">
        <v>13</v>
      </c>
      <c r="I6" s="2">
        <v>0.5</v>
      </c>
    </row>
    <row r="7" spans="1:9">
      <c r="A7" s="3" t="s">
        <v>22</v>
      </c>
      <c r="B7" s="3">
        <v>5000000</v>
      </c>
      <c r="C7" s="3" t="s">
        <v>23</v>
      </c>
      <c r="D7" s="3">
        <v>0.5</v>
      </c>
      <c r="E7" s="3">
        <v>1.5</v>
      </c>
      <c r="F7" s="3" t="s">
        <v>24</v>
      </c>
      <c r="G7" s="3" t="s">
        <v>12</v>
      </c>
      <c r="H7" s="3" t="s">
        <v>13</v>
      </c>
      <c r="I7" s="3">
        <v>0.5</v>
      </c>
    </row>
    <row r="8" spans="1:9">
      <c r="A8" s="2" t="s">
        <v>25</v>
      </c>
      <c r="B8" s="2">
        <v>2000000</v>
      </c>
      <c r="C8" s="2" t="s">
        <v>19</v>
      </c>
      <c r="D8" s="2">
        <v>0.2</v>
      </c>
      <c r="E8" s="2">
        <v>1.2</v>
      </c>
      <c r="F8" s="2"/>
      <c r="G8" s="2" t="s">
        <v>12</v>
      </c>
      <c r="H8" s="2" t="s">
        <v>13</v>
      </c>
      <c r="I8" s="2">
        <v>0.2</v>
      </c>
    </row>
    <row r="9" spans="1:9">
      <c r="A9" s="3" t="s">
        <v>26</v>
      </c>
      <c r="B9" s="3"/>
      <c r="C9" s="3" t="s">
        <v>23</v>
      </c>
      <c r="D9" s="3">
        <v>0</v>
      </c>
      <c r="E9" s="3">
        <v>1</v>
      </c>
      <c r="F9" s="3" t="s">
        <v>27</v>
      </c>
      <c r="G9" s="3" t="s">
        <v>12</v>
      </c>
      <c r="H9" s="3" t="s">
        <v>13</v>
      </c>
      <c r="I9" s="3"/>
    </row>
    <row r="10" spans="1:9">
      <c r="A10" s="2" t="s">
        <v>28</v>
      </c>
      <c r="B10" s="2"/>
      <c r="C10" s="2" t="s">
        <v>23</v>
      </c>
      <c r="D10" s="2">
        <v>0</v>
      </c>
      <c r="E10" s="2">
        <v>1</v>
      </c>
      <c r="F10" s="2" t="s">
        <v>27</v>
      </c>
      <c r="G10" s="2" t="s">
        <v>12</v>
      </c>
      <c r="H10" s="2" t="s">
        <v>13</v>
      </c>
      <c r="I10" s="2"/>
    </row>
    <row r="11" spans="1:9">
      <c r="A11" s="3" t="s">
        <v>29</v>
      </c>
      <c r="B11" s="3"/>
      <c r="C11" s="3" t="s">
        <v>10</v>
      </c>
      <c r="D11" s="3">
        <v>0</v>
      </c>
      <c r="E11" s="3">
        <v>1</v>
      </c>
      <c r="F11" s="3" t="s">
        <v>27</v>
      </c>
      <c r="G11" s="3" t="s">
        <v>12</v>
      </c>
      <c r="H11" s="3" t="s">
        <v>13</v>
      </c>
      <c r="I11" s="3"/>
    </row>
    <row r="12" spans="1:9">
      <c r="A12" s="2" t="s">
        <v>30</v>
      </c>
      <c r="B12" s="2"/>
      <c r="C12" s="2" t="s">
        <v>10</v>
      </c>
      <c r="D12" s="2">
        <v>0</v>
      </c>
      <c r="E12" s="2">
        <v>1</v>
      </c>
      <c r="F12" s="2" t="s">
        <v>27</v>
      </c>
      <c r="G12" s="2" t="s">
        <v>12</v>
      </c>
      <c r="H12" s="2" t="s">
        <v>13</v>
      </c>
      <c r="I12" s="2"/>
    </row>
    <row r="13" spans="1:9">
      <c r="A13" s="3" t="s">
        <v>31</v>
      </c>
      <c r="B13" s="3"/>
      <c r="C13" s="3" t="s">
        <v>10</v>
      </c>
      <c r="D13" s="3">
        <v>0</v>
      </c>
      <c r="E13" s="3">
        <v>1</v>
      </c>
      <c r="F13" s="3" t="s">
        <v>27</v>
      </c>
      <c r="G13" s="3" t="s">
        <v>12</v>
      </c>
      <c r="H13" s="3" t="s">
        <v>13</v>
      </c>
      <c r="I13" s="3"/>
    </row>
    <row r="14" spans="1:9">
      <c r="A14" s="2" t="s">
        <v>32</v>
      </c>
      <c r="B14" s="2"/>
      <c r="C14" s="2" t="s">
        <v>10</v>
      </c>
      <c r="D14" s="2">
        <v>0</v>
      </c>
      <c r="E14" s="2">
        <v>1</v>
      </c>
      <c r="F14" s="2" t="s">
        <v>27</v>
      </c>
      <c r="G14" s="2" t="s">
        <v>12</v>
      </c>
      <c r="H14" s="2" t="s">
        <v>13</v>
      </c>
      <c r="I14" s="2"/>
    </row>
    <row r="15" spans="1:9">
      <c r="A15" s="3" t="s">
        <v>33</v>
      </c>
      <c r="B15" s="3"/>
      <c r="C15" s="3" t="s">
        <v>19</v>
      </c>
      <c r="D15" s="3">
        <v>0</v>
      </c>
      <c r="E15" s="3">
        <v>1</v>
      </c>
      <c r="F15" s="3" t="s">
        <v>27</v>
      </c>
      <c r="G15" s="3" t="s">
        <v>12</v>
      </c>
      <c r="H15" s="3" t="s">
        <v>13</v>
      </c>
      <c r="I15" s="3"/>
    </row>
    <row r="16" spans="1:9">
      <c r="A16" s="2" t="s">
        <v>34</v>
      </c>
      <c r="B16" s="2"/>
      <c r="C16" s="2" t="s">
        <v>23</v>
      </c>
      <c r="D16" s="2">
        <v>0</v>
      </c>
      <c r="E16" s="2">
        <v>1</v>
      </c>
      <c r="F16" s="2" t="s">
        <v>27</v>
      </c>
      <c r="G16" s="2" t="s">
        <v>12</v>
      </c>
      <c r="H16" s="2" t="s">
        <v>13</v>
      </c>
      <c r="I16" s="2"/>
    </row>
    <row r="17" spans="1:9">
      <c r="A17" s="3" t="s">
        <v>35</v>
      </c>
      <c r="B17" s="3"/>
      <c r="C17" s="3" t="s">
        <v>16</v>
      </c>
      <c r="D17" s="3">
        <v>0</v>
      </c>
      <c r="E17" s="3">
        <v>1</v>
      </c>
      <c r="F17" s="3" t="s">
        <v>27</v>
      </c>
      <c r="G17" s="3" t="s">
        <v>12</v>
      </c>
      <c r="H17" s="3" t="s">
        <v>13</v>
      </c>
      <c r="I17" s="3"/>
    </row>
    <row r="18" spans="1:9">
      <c r="A18" s="2" t="s">
        <v>36</v>
      </c>
      <c r="B18" s="2"/>
      <c r="C18" s="2" t="s">
        <v>23</v>
      </c>
      <c r="D18" s="2">
        <v>0</v>
      </c>
      <c r="E18" s="2">
        <v>1</v>
      </c>
      <c r="F18" s="2" t="s">
        <v>27</v>
      </c>
      <c r="G18" s="2" t="s">
        <v>12</v>
      </c>
      <c r="H18" s="2" t="s">
        <v>13</v>
      </c>
      <c r="I18" s="2"/>
    </row>
    <row r="19" spans="1:9">
      <c r="A19" s="3" t="s">
        <v>37</v>
      </c>
      <c r="B19" s="3"/>
      <c r="C19" s="3" t="s">
        <v>23</v>
      </c>
      <c r="D19" s="3">
        <v>0</v>
      </c>
      <c r="E19" s="3">
        <v>1</v>
      </c>
      <c r="F19" s="3" t="s">
        <v>27</v>
      </c>
      <c r="G19" s="3" t="s">
        <v>12</v>
      </c>
      <c r="H19" s="3" t="s">
        <v>13</v>
      </c>
      <c r="I19" s="3"/>
    </row>
    <row r="20" spans="1:9">
      <c r="A20" s="2" t="s">
        <v>38</v>
      </c>
      <c r="B20" s="2"/>
      <c r="C20" s="2" t="s">
        <v>10</v>
      </c>
      <c r="D20" s="2">
        <v>0</v>
      </c>
      <c r="E20" s="2">
        <v>1</v>
      </c>
      <c r="F20" s="2" t="s">
        <v>27</v>
      </c>
      <c r="G20" s="2" t="s">
        <v>12</v>
      </c>
      <c r="H20" s="2" t="s">
        <v>13</v>
      </c>
      <c r="I20" s="2"/>
    </row>
    <row r="21" spans="1:9">
      <c r="A21" s="3" t="s">
        <v>39</v>
      </c>
      <c r="B21" s="3"/>
      <c r="C21" s="3" t="s">
        <v>16</v>
      </c>
      <c r="D21" s="3">
        <v>0</v>
      </c>
      <c r="E21" s="3">
        <v>1</v>
      </c>
      <c r="F21" s="3" t="s">
        <v>27</v>
      </c>
      <c r="G21" s="3" t="s">
        <v>12</v>
      </c>
      <c r="H21" s="3" t="s">
        <v>13</v>
      </c>
      <c r="I21" s="3"/>
    </row>
    <row r="22" spans="1:9">
      <c r="A22" s="2" t="s">
        <v>40</v>
      </c>
      <c r="B22" s="2"/>
      <c r="C22" s="2" t="s">
        <v>23</v>
      </c>
      <c r="D22" s="2">
        <v>0</v>
      </c>
      <c r="E22" s="2">
        <v>1</v>
      </c>
      <c r="F22" s="2" t="s">
        <v>27</v>
      </c>
      <c r="G22" s="2" t="s">
        <v>12</v>
      </c>
      <c r="H22" s="2" t="s">
        <v>13</v>
      </c>
      <c r="I22" s="2"/>
    </row>
    <row r="23" spans="1:9">
      <c r="A23" s="3" t="s">
        <v>41</v>
      </c>
      <c r="B23" s="3"/>
      <c r="C23" s="3" t="s">
        <v>16</v>
      </c>
      <c r="D23" s="3">
        <v>0</v>
      </c>
      <c r="E23" s="3">
        <v>1</v>
      </c>
      <c r="F23" s="3" t="s">
        <v>27</v>
      </c>
      <c r="G23" s="3" t="s">
        <v>12</v>
      </c>
      <c r="H23" s="3" t="s">
        <v>13</v>
      </c>
      <c r="I23" s="3"/>
    </row>
    <row r="24" spans="1:9">
      <c r="A24" s="2" t="s">
        <v>42</v>
      </c>
      <c r="B24" s="2"/>
      <c r="C24" s="2" t="s">
        <v>19</v>
      </c>
      <c r="D24" s="2">
        <v>0</v>
      </c>
      <c r="E24" s="2">
        <v>1</v>
      </c>
      <c r="F24" s="2" t="s">
        <v>27</v>
      </c>
      <c r="G24" s="2" t="s">
        <v>12</v>
      </c>
      <c r="H24" s="2" t="s">
        <v>13</v>
      </c>
      <c r="I24" s="2"/>
    </row>
    <row r="25" spans="1:9">
      <c r="A25" s="3" t="s">
        <v>43</v>
      </c>
      <c r="B25" s="3"/>
      <c r="C25" s="3" t="s">
        <v>23</v>
      </c>
      <c r="D25" s="3">
        <v>0</v>
      </c>
      <c r="E25" s="3">
        <v>1</v>
      </c>
      <c r="F25" s="3" t="s">
        <v>27</v>
      </c>
      <c r="G25" s="3" t="s">
        <v>12</v>
      </c>
      <c r="H25" s="3" t="s">
        <v>13</v>
      </c>
      <c r="I25" s="3"/>
    </row>
    <row r="26" spans="1:9">
      <c r="A26" s="2" t="s">
        <v>44</v>
      </c>
      <c r="B26" s="2"/>
      <c r="C26" s="2" t="s">
        <v>10</v>
      </c>
      <c r="D26" s="2">
        <v>0</v>
      </c>
      <c r="E26" s="2">
        <v>1</v>
      </c>
      <c r="F26" s="2" t="s">
        <v>27</v>
      </c>
      <c r="G26" s="2" t="s">
        <v>12</v>
      </c>
      <c r="H26" s="2" t="s">
        <v>13</v>
      </c>
      <c r="I26" s="2"/>
    </row>
    <row r="27" spans="1:9">
      <c r="A27" s="3" t="s">
        <v>45</v>
      </c>
      <c r="B27" s="3">
        <v>20000000</v>
      </c>
      <c r="C27" s="3" t="s">
        <v>23</v>
      </c>
      <c r="D27" s="3">
        <v>16.25</v>
      </c>
      <c r="E27" s="3">
        <v>17.25</v>
      </c>
      <c r="F27" s="3"/>
      <c r="G27" s="3" t="s">
        <v>46</v>
      </c>
      <c r="H27" s="3" t="s">
        <v>13</v>
      </c>
      <c r="I27" s="3">
        <v>2</v>
      </c>
    </row>
    <row r="28" spans="1:9">
      <c r="A28" s="2" t="s">
        <v>47</v>
      </c>
      <c r="B28" s="2">
        <v>10000000</v>
      </c>
      <c r="C28" s="2" t="s">
        <v>10</v>
      </c>
      <c r="D28" s="2">
        <v>1</v>
      </c>
      <c r="E28" s="2">
        <v>2</v>
      </c>
      <c r="F28" s="2"/>
      <c r="G28" s="2" t="s">
        <v>46</v>
      </c>
      <c r="H28" s="2" t="s">
        <v>13</v>
      </c>
      <c r="I28" s="2">
        <v>1</v>
      </c>
    </row>
    <row r="29" spans="1:9">
      <c r="A29" s="3" t="s">
        <v>48</v>
      </c>
      <c r="B29" s="3">
        <v>2000000</v>
      </c>
      <c r="C29" s="3" t="s">
        <v>23</v>
      </c>
      <c r="D29" s="3">
        <v>0.6</v>
      </c>
      <c r="E29" s="3">
        <v>1.6</v>
      </c>
      <c r="F29" s="3"/>
      <c r="G29" s="3" t="s">
        <v>46</v>
      </c>
      <c r="H29" s="3" t="s">
        <v>13</v>
      </c>
      <c r="I29" s="3">
        <v>0.2</v>
      </c>
    </row>
    <row r="30" spans="1:9">
      <c r="A30" s="2" t="s">
        <v>49</v>
      </c>
      <c r="B30" s="2">
        <v>5000000</v>
      </c>
      <c r="C30" s="2" t="s">
        <v>16</v>
      </c>
      <c r="D30" s="2">
        <v>0.5</v>
      </c>
      <c r="E30" s="2">
        <v>1.5</v>
      </c>
      <c r="F30" s="2" t="s">
        <v>11</v>
      </c>
      <c r="G30" s="2" t="s">
        <v>46</v>
      </c>
      <c r="H30" s="2" t="s">
        <v>13</v>
      </c>
      <c r="I30" s="2">
        <v>0.5</v>
      </c>
    </row>
    <row r="31" spans="1:9">
      <c r="A31" s="3" t="s">
        <v>50</v>
      </c>
      <c r="B31" s="3">
        <v>2000000</v>
      </c>
      <c r="C31" s="3" t="s">
        <v>23</v>
      </c>
      <c r="D31" s="3">
        <v>0.2</v>
      </c>
      <c r="E31" s="3">
        <v>1.2</v>
      </c>
      <c r="F31" s="3" t="s">
        <v>51</v>
      </c>
      <c r="G31" s="3" t="s">
        <v>46</v>
      </c>
      <c r="H31" s="3" t="s">
        <v>13</v>
      </c>
      <c r="I31" s="3">
        <v>0.2</v>
      </c>
    </row>
    <row r="32" spans="1:9">
      <c r="A32" s="2" t="s">
        <v>52</v>
      </c>
      <c r="B32" s="2">
        <v>2000000</v>
      </c>
      <c r="C32" s="2" t="s">
        <v>23</v>
      </c>
      <c r="D32" s="2">
        <v>0.2</v>
      </c>
      <c r="E32" s="2">
        <v>1.2</v>
      </c>
      <c r="F32" s="2"/>
      <c r="G32" s="2" t="s">
        <v>46</v>
      </c>
      <c r="H32" s="2" t="s">
        <v>13</v>
      </c>
      <c r="I32" s="2">
        <v>0.2</v>
      </c>
    </row>
    <row r="33" spans="1:9">
      <c r="A33" s="3" t="s">
        <v>53</v>
      </c>
      <c r="B33" s="3">
        <v>2000000</v>
      </c>
      <c r="C33" s="3" t="s">
        <v>16</v>
      </c>
      <c r="D33" s="3">
        <v>0.2</v>
      </c>
      <c r="E33" s="3">
        <v>1.2</v>
      </c>
      <c r="F33" s="3"/>
      <c r="G33" s="3" t="s">
        <v>46</v>
      </c>
      <c r="H33" s="3" t="s">
        <v>13</v>
      </c>
      <c r="I33" s="3">
        <v>0.2</v>
      </c>
    </row>
    <row r="34" spans="1:9">
      <c r="A34" s="2" t="s">
        <v>54</v>
      </c>
      <c r="B34" s="2"/>
      <c r="C34" s="2" t="s">
        <v>23</v>
      </c>
      <c r="D34" s="2">
        <v>0</v>
      </c>
      <c r="E34" s="2">
        <v>1</v>
      </c>
      <c r="F34" s="2" t="s">
        <v>51</v>
      </c>
      <c r="G34" s="2" t="s">
        <v>46</v>
      </c>
      <c r="H34" s="2" t="s">
        <v>13</v>
      </c>
      <c r="I34" s="2"/>
    </row>
    <row r="35" spans="1:9">
      <c r="A35" s="3" t="s">
        <v>55</v>
      </c>
      <c r="B35" s="3"/>
      <c r="C35" s="3" t="s">
        <v>23</v>
      </c>
      <c r="D35" s="3">
        <v>0</v>
      </c>
      <c r="E35" s="3">
        <v>1</v>
      </c>
      <c r="F35" s="3" t="s">
        <v>51</v>
      </c>
      <c r="G35" s="3" t="s">
        <v>46</v>
      </c>
      <c r="H35" s="3" t="s">
        <v>13</v>
      </c>
      <c r="I35" s="3"/>
    </row>
    <row r="36" spans="1:9">
      <c r="A36" s="2" t="s">
        <v>56</v>
      </c>
      <c r="B36" s="2"/>
      <c r="C36" s="2" t="s">
        <v>10</v>
      </c>
      <c r="D36" s="2">
        <v>0</v>
      </c>
      <c r="E36" s="2">
        <v>1</v>
      </c>
      <c r="F36" s="2" t="s">
        <v>51</v>
      </c>
      <c r="G36" s="2" t="s">
        <v>46</v>
      </c>
      <c r="H36" s="2" t="s">
        <v>13</v>
      </c>
      <c r="I36" s="2"/>
    </row>
    <row r="37" spans="1:9">
      <c r="A37" s="3" t="s">
        <v>57</v>
      </c>
      <c r="B37" s="3"/>
      <c r="C37" s="3" t="s">
        <v>16</v>
      </c>
      <c r="D37" s="3">
        <v>0</v>
      </c>
      <c r="E37" s="3">
        <v>1</v>
      </c>
      <c r="F37" s="3" t="s">
        <v>51</v>
      </c>
      <c r="G37" s="3" t="s">
        <v>46</v>
      </c>
      <c r="H37" s="3" t="s">
        <v>13</v>
      </c>
      <c r="I37" s="3"/>
    </row>
    <row r="38" spans="1:9">
      <c r="A38" s="2" t="s">
        <v>58</v>
      </c>
      <c r="B38" s="2"/>
      <c r="C38" s="2" t="s">
        <v>10</v>
      </c>
      <c r="D38" s="2">
        <v>0</v>
      </c>
      <c r="E38" s="2">
        <v>1</v>
      </c>
      <c r="F38" s="2" t="s">
        <v>51</v>
      </c>
      <c r="G38" s="2" t="s">
        <v>46</v>
      </c>
      <c r="H38" s="2" t="s">
        <v>13</v>
      </c>
      <c r="I38" s="2"/>
    </row>
    <row r="39" spans="1:9">
      <c r="A39" s="3" t="s">
        <v>59</v>
      </c>
      <c r="B39" s="3"/>
      <c r="C39" s="3" t="s">
        <v>10</v>
      </c>
      <c r="D39" s="3">
        <v>0</v>
      </c>
      <c r="E39" s="3">
        <v>1</v>
      </c>
      <c r="F39" s="3" t="s">
        <v>51</v>
      </c>
      <c r="G39" s="3" t="s">
        <v>46</v>
      </c>
      <c r="H39" s="3" t="s">
        <v>13</v>
      </c>
      <c r="I39" s="3"/>
    </row>
    <row r="40" spans="1:9">
      <c r="A40" s="2" t="s">
        <v>60</v>
      </c>
      <c r="B40" s="2"/>
      <c r="C40" s="2" t="s">
        <v>16</v>
      </c>
      <c r="D40" s="2">
        <v>0</v>
      </c>
      <c r="E40" s="2">
        <v>1</v>
      </c>
      <c r="F40" s="2" t="s">
        <v>51</v>
      </c>
      <c r="G40" s="2" t="s">
        <v>46</v>
      </c>
      <c r="H40" s="2" t="s">
        <v>13</v>
      </c>
      <c r="I40" s="2"/>
    </row>
    <row r="41" spans="1:9">
      <c r="A41" s="3" t="s">
        <v>61</v>
      </c>
      <c r="B41" s="3"/>
      <c r="C41" s="3" t="s">
        <v>10</v>
      </c>
      <c r="D41" s="3">
        <v>0</v>
      </c>
      <c r="E41" s="3">
        <v>1</v>
      </c>
      <c r="F41" s="3" t="s">
        <v>51</v>
      </c>
      <c r="G41" s="3" t="s">
        <v>46</v>
      </c>
      <c r="H41" s="3" t="s">
        <v>13</v>
      </c>
      <c r="I41" s="3"/>
    </row>
    <row r="42" spans="1:9">
      <c r="A42" s="2" t="s">
        <v>62</v>
      </c>
      <c r="B42" s="2"/>
      <c r="C42" s="2" t="s">
        <v>23</v>
      </c>
      <c r="D42" s="2">
        <v>0</v>
      </c>
      <c r="E42" s="2">
        <v>1</v>
      </c>
      <c r="F42" s="2" t="s">
        <v>51</v>
      </c>
      <c r="G42" s="2" t="s">
        <v>46</v>
      </c>
      <c r="H42" s="2" t="s">
        <v>13</v>
      </c>
      <c r="I42" s="2"/>
    </row>
    <row r="43" spans="1:9">
      <c r="A43" s="3" t="s">
        <v>63</v>
      </c>
      <c r="B43" s="3"/>
      <c r="C43" s="3" t="s">
        <v>10</v>
      </c>
      <c r="D43" s="3">
        <v>0</v>
      </c>
      <c r="E43" s="3">
        <v>1</v>
      </c>
      <c r="F43" s="3" t="s">
        <v>51</v>
      </c>
      <c r="G43" s="3" t="s">
        <v>46</v>
      </c>
      <c r="H43" s="3" t="s">
        <v>13</v>
      </c>
      <c r="I43" s="3"/>
    </row>
    <row r="44" spans="1:9">
      <c r="A44" s="2" t="s">
        <v>64</v>
      </c>
      <c r="B44" s="2"/>
      <c r="C44" s="2" t="s">
        <v>16</v>
      </c>
      <c r="D44" s="2">
        <v>0</v>
      </c>
      <c r="E44" s="2">
        <v>1</v>
      </c>
      <c r="F44" s="2" t="s">
        <v>51</v>
      </c>
      <c r="G44" s="2" t="s">
        <v>46</v>
      </c>
      <c r="H44" s="2" t="s">
        <v>13</v>
      </c>
      <c r="I44" s="2"/>
    </row>
    <row r="45" spans="1:9">
      <c r="A45" s="3" t="s">
        <v>65</v>
      </c>
      <c r="B45" s="3"/>
      <c r="C45" s="3" t="s">
        <v>10</v>
      </c>
      <c r="D45" s="3">
        <v>0</v>
      </c>
      <c r="E45" s="3">
        <v>1</v>
      </c>
      <c r="F45" s="3" t="s">
        <v>51</v>
      </c>
      <c r="G45" s="3" t="s">
        <v>46</v>
      </c>
      <c r="H45" s="3" t="s">
        <v>13</v>
      </c>
      <c r="I45" s="3"/>
    </row>
    <row r="46" spans="1:9">
      <c r="A46" s="2" t="s">
        <v>66</v>
      </c>
      <c r="B46" s="2"/>
      <c r="C46" s="2" t="s">
        <v>16</v>
      </c>
      <c r="D46" s="2">
        <v>0</v>
      </c>
      <c r="E46" s="2">
        <v>1</v>
      </c>
      <c r="F46" s="2" t="s">
        <v>51</v>
      </c>
      <c r="G46" s="2" t="s">
        <v>46</v>
      </c>
      <c r="H46" s="2" t="s">
        <v>13</v>
      </c>
      <c r="I46" s="2"/>
    </row>
    <row r="47" spans="1:9">
      <c r="A47" s="3" t="s">
        <v>67</v>
      </c>
      <c r="B47" s="3"/>
      <c r="C47" s="3" t="s">
        <v>23</v>
      </c>
      <c r="D47" s="3">
        <v>0</v>
      </c>
      <c r="E47" s="3">
        <v>1</v>
      </c>
      <c r="F47" s="3" t="s">
        <v>51</v>
      </c>
      <c r="G47" s="3" t="s">
        <v>46</v>
      </c>
      <c r="H47" s="3" t="s">
        <v>13</v>
      </c>
      <c r="I47" s="3"/>
    </row>
    <row r="48" spans="1:9">
      <c r="A48" s="2" t="s">
        <v>68</v>
      </c>
      <c r="B48" s="2"/>
      <c r="C48" s="2" t="s">
        <v>10</v>
      </c>
      <c r="D48" s="2">
        <v>0</v>
      </c>
      <c r="E48" s="2">
        <v>1</v>
      </c>
      <c r="F48" s="2" t="s">
        <v>51</v>
      </c>
      <c r="G48" s="2" t="s">
        <v>46</v>
      </c>
      <c r="H48" s="2" t="s">
        <v>13</v>
      </c>
      <c r="I48" s="2"/>
    </row>
    <row r="49" spans="1:9">
      <c r="A49" s="3" t="s">
        <v>69</v>
      </c>
      <c r="B49" s="3"/>
      <c r="C49" s="3" t="s">
        <v>23</v>
      </c>
      <c r="D49" s="3">
        <v>0</v>
      </c>
      <c r="E49" s="3">
        <v>1</v>
      </c>
      <c r="F49" s="3" t="s">
        <v>51</v>
      </c>
      <c r="G49" s="3" t="s">
        <v>46</v>
      </c>
      <c r="H49" s="3" t="s">
        <v>13</v>
      </c>
      <c r="I49" s="3"/>
    </row>
    <row r="50" spans="1:9">
      <c r="A50" s="2" t="s">
        <v>70</v>
      </c>
      <c r="B50" s="2"/>
      <c r="C50" s="2" t="s">
        <v>23</v>
      </c>
      <c r="D50" s="2">
        <v>0</v>
      </c>
      <c r="E50" s="2">
        <v>1</v>
      </c>
      <c r="F50" s="2" t="s">
        <v>51</v>
      </c>
      <c r="G50" s="2" t="s">
        <v>46</v>
      </c>
      <c r="H50" s="2" t="s">
        <v>13</v>
      </c>
      <c r="I50" s="2"/>
    </row>
    <row r="51" spans="1:9">
      <c r="A51" s="3" t="s">
        <v>71</v>
      </c>
      <c r="B51" s="3"/>
      <c r="C51" s="3" t="s">
        <v>19</v>
      </c>
      <c r="D51" s="3">
        <v>0</v>
      </c>
      <c r="E51" s="3">
        <v>1</v>
      </c>
      <c r="F51" s="3" t="s">
        <v>51</v>
      </c>
      <c r="G51" s="3" t="s">
        <v>46</v>
      </c>
      <c r="H51" s="3" t="s">
        <v>13</v>
      </c>
      <c r="I51" s="3"/>
    </row>
    <row r="52" spans="1:9">
      <c r="A52" s="2" t="s">
        <v>72</v>
      </c>
      <c r="B52" s="2">
        <v>2000000</v>
      </c>
      <c r="C52" s="2" t="s">
        <v>10</v>
      </c>
      <c r="D52" s="2">
        <v>5.5</v>
      </c>
      <c r="E52" s="2">
        <v>6.5</v>
      </c>
      <c r="F52" s="2"/>
      <c r="G52" s="2" t="s">
        <v>73</v>
      </c>
      <c r="H52" s="2" t="s">
        <v>13</v>
      </c>
      <c r="I52" s="2">
        <v>0.2</v>
      </c>
    </row>
    <row r="53" spans="1:9">
      <c r="A53" s="3" t="s">
        <v>74</v>
      </c>
      <c r="B53" s="3">
        <v>20000000</v>
      </c>
      <c r="C53" s="3" t="s">
        <v>16</v>
      </c>
      <c r="D53" s="3">
        <v>4.5999999999999996</v>
      </c>
      <c r="E53" s="3">
        <v>5.6</v>
      </c>
      <c r="F53" s="3"/>
      <c r="G53" s="3" t="s">
        <v>73</v>
      </c>
      <c r="H53" s="3" t="s">
        <v>13</v>
      </c>
      <c r="I53" s="3">
        <v>2</v>
      </c>
    </row>
    <row r="54" spans="1:9">
      <c r="A54" s="2" t="s">
        <v>75</v>
      </c>
      <c r="B54" s="2">
        <v>10000000</v>
      </c>
      <c r="C54" s="2" t="s">
        <v>16</v>
      </c>
      <c r="D54" s="2">
        <v>2.4</v>
      </c>
      <c r="E54" s="2">
        <v>3.4</v>
      </c>
      <c r="F54" s="2" t="s">
        <v>76</v>
      </c>
      <c r="G54" s="2" t="s">
        <v>73</v>
      </c>
      <c r="H54" s="2" t="s">
        <v>13</v>
      </c>
      <c r="I54" s="2">
        <v>1</v>
      </c>
    </row>
    <row r="55" spans="1:9">
      <c r="A55" s="3" t="s">
        <v>77</v>
      </c>
      <c r="B55" s="3">
        <v>20000000</v>
      </c>
      <c r="C55" s="3" t="s">
        <v>19</v>
      </c>
      <c r="D55" s="3">
        <v>2</v>
      </c>
      <c r="E55" s="3">
        <v>3</v>
      </c>
      <c r="F55" s="3"/>
      <c r="G55" s="3" t="s">
        <v>73</v>
      </c>
      <c r="H55" s="3" t="s">
        <v>13</v>
      </c>
      <c r="I55" s="3">
        <v>2</v>
      </c>
    </row>
    <row r="56" spans="1:9">
      <c r="A56" s="2" t="s">
        <v>78</v>
      </c>
      <c r="B56" s="2">
        <v>5000000</v>
      </c>
      <c r="C56" s="2" t="s">
        <v>10</v>
      </c>
      <c r="D56" s="2">
        <v>0.5</v>
      </c>
      <c r="E56" s="2">
        <v>1.5</v>
      </c>
      <c r="F56" s="2"/>
      <c r="G56" s="2" t="s">
        <v>73</v>
      </c>
      <c r="H56" s="2" t="s">
        <v>13</v>
      </c>
      <c r="I56" s="2">
        <v>0.5</v>
      </c>
    </row>
    <row r="57" spans="1:9">
      <c r="A57" s="3" t="s">
        <v>79</v>
      </c>
      <c r="B57" s="3"/>
      <c r="C57" s="3" t="s">
        <v>23</v>
      </c>
      <c r="D57" s="3">
        <v>0</v>
      </c>
      <c r="E57" s="3">
        <v>1</v>
      </c>
      <c r="F57" s="3" t="s">
        <v>20</v>
      </c>
      <c r="G57" s="3" t="s">
        <v>73</v>
      </c>
      <c r="H57" s="3" t="s">
        <v>13</v>
      </c>
      <c r="I57" s="3"/>
    </row>
    <row r="58" spans="1:9">
      <c r="A58" s="2" t="s">
        <v>80</v>
      </c>
      <c r="B58" s="2"/>
      <c r="C58" s="2" t="s">
        <v>23</v>
      </c>
      <c r="D58" s="2">
        <v>0</v>
      </c>
      <c r="E58" s="2">
        <v>1</v>
      </c>
      <c r="F58" s="2" t="s">
        <v>20</v>
      </c>
      <c r="G58" s="2" t="s">
        <v>73</v>
      </c>
      <c r="H58" s="2" t="s">
        <v>13</v>
      </c>
      <c r="I58" s="2"/>
    </row>
    <row r="59" spans="1:9">
      <c r="A59" s="3" t="s">
        <v>81</v>
      </c>
      <c r="B59" s="3"/>
      <c r="C59" s="3" t="s">
        <v>19</v>
      </c>
      <c r="D59" s="3">
        <v>0</v>
      </c>
      <c r="E59" s="3">
        <v>1</v>
      </c>
      <c r="F59" s="3" t="s">
        <v>20</v>
      </c>
      <c r="G59" s="3" t="s">
        <v>73</v>
      </c>
      <c r="H59" s="3" t="s">
        <v>13</v>
      </c>
      <c r="I59" s="3"/>
    </row>
    <row r="60" spans="1:9">
      <c r="A60" s="2" t="s">
        <v>82</v>
      </c>
      <c r="B60" s="2"/>
      <c r="C60" s="2" t="s">
        <v>16</v>
      </c>
      <c r="D60" s="2">
        <v>0</v>
      </c>
      <c r="E60" s="2">
        <v>1</v>
      </c>
      <c r="F60" s="2" t="s">
        <v>20</v>
      </c>
      <c r="G60" s="2" t="s">
        <v>73</v>
      </c>
      <c r="H60" s="2" t="s">
        <v>13</v>
      </c>
      <c r="I60" s="2"/>
    </row>
    <row r="61" spans="1:9">
      <c r="A61" s="3" t="s">
        <v>83</v>
      </c>
      <c r="B61" s="3"/>
      <c r="C61" s="3" t="s">
        <v>10</v>
      </c>
      <c r="D61" s="3">
        <v>0</v>
      </c>
      <c r="E61" s="3">
        <v>1</v>
      </c>
      <c r="F61" s="3" t="s">
        <v>20</v>
      </c>
      <c r="G61" s="3" t="s">
        <v>73</v>
      </c>
      <c r="H61" s="3" t="s">
        <v>13</v>
      </c>
      <c r="I61" s="3"/>
    </row>
    <row r="62" spans="1:9">
      <c r="A62" s="2" t="s">
        <v>84</v>
      </c>
      <c r="B62" s="2"/>
      <c r="C62" s="2" t="s">
        <v>23</v>
      </c>
      <c r="D62" s="2">
        <v>0</v>
      </c>
      <c r="E62" s="2">
        <v>1</v>
      </c>
      <c r="F62" s="2" t="s">
        <v>20</v>
      </c>
      <c r="G62" s="2" t="s">
        <v>73</v>
      </c>
      <c r="H62" s="2" t="s">
        <v>13</v>
      </c>
      <c r="I62" s="2"/>
    </row>
    <row r="63" spans="1:9">
      <c r="A63" s="3" t="s">
        <v>85</v>
      </c>
      <c r="B63" s="3"/>
      <c r="C63" s="3" t="s">
        <v>23</v>
      </c>
      <c r="D63" s="3">
        <v>0</v>
      </c>
      <c r="E63" s="3">
        <v>1</v>
      </c>
      <c r="F63" s="3" t="s">
        <v>20</v>
      </c>
      <c r="G63" s="3" t="s">
        <v>73</v>
      </c>
      <c r="H63" s="3" t="s">
        <v>13</v>
      </c>
      <c r="I63" s="3"/>
    </row>
    <row r="64" spans="1:9">
      <c r="A64" s="2" t="s">
        <v>86</v>
      </c>
      <c r="B64" s="2"/>
      <c r="C64" s="2" t="s">
        <v>10</v>
      </c>
      <c r="D64" s="2">
        <v>0</v>
      </c>
      <c r="E64" s="2">
        <v>1</v>
      </c>
      <c r="F64" s="2" t="s">
        <v>20</v>
      </c>
      <c r="G64" s="2" t="s">
        <v>73</v>
      </c>
      <c r="H64" s="2" t="s">
        <v>13</v>
      </c>
      <c r="I64" s="2"/>
    </row>
    <row r="65" spans="1:9">
      <c r="A65" s="3" t="s">
        <v>87</v>
      </c>
      <c r="B65" s="3"/>
      <c r="C65" s="3" t="s">
        <v>23</v>
      </c>
      <c r="D65" s="3">
        <v>0</v>
      </c>
      <c r="E65" s="3">
        <v>1</v>
      </c>
      <c r="F65" s="3" t="s">
        <v>20</v>
      </c>
      <c r="G65" s="3" t="s">
        <v>73</v>
      </c>
      <c r="H65" s="3" t="s">
        <v>13</v>
      </c>
      <c r="I65" s="3"/>
    </row>
    <row r="66" spans="1:9">
      <c r="A66" s="2" t="s">
        <v>88</v>
      </c>
      <c r="B66" s="2"/>
      <c r="C66" s="2" t="s">
        <v>16</v>
      </c>
      <c r="D66" s="2">
        <v>0</v>
      </c>
      <c r="E66" s="2">
        <v>1</v>
      </c>
      <c r="F66" s="2" t="s">
        <v>20</v>
      </c>
      <c r="G66" s="2" t="s">
        <v>73</v>
      </c>
      <c r="H66" s="2" t="s">
        <v>13</v>
      </c>
      <c r="I66" s="2"/>
    </row>
    <row r="67" spans="1:9">
      <c r="A67" s="3" t="s">
        <v>89</v>
      </c>
      <c r="B67" s="3"/>
      <c r="C67" s="3" t="s">
        <v>23</v>
      </c>
      <c r="D67" s="3">
        <v>0</v>
      </c>
      <c r="E67" s="3">
        <v>1</v>
      </c>
      <c r="F67" s="3" t="s">
        <v>20</v>
      </c>
      <c r="G67" s="3" t="s">
        <v>73</v>
      </c>
      <c r="H67" s="3" t="s">
        <v>13</v>
      </c>
      <c r="I67" s="3"/>
    </row>
    <row r="68" spans="1:9">
      <c r="A68" s="2" t="s">
        <v>90</v>
      </c>
      <c r="B68" s="2"/>
      <c r="C68" s="2" t="s">
        <v>23</v>
      </c>
      <c r="D68" s="2">
        <v>0</v>
      </c>
      <c r="E68" s="2">
        <v>1</v>
      </c>
      <c r="F68" s="2" t="s">
        <v>20</v>
      </c>
      <c r="G68" s="2" t="s">
        <v>73</v>
      </c>
      <c r="H68" s="2" t="s">
        <v>13</v>
      </c>
      <c r="I68" s="2"/>
    </row>
    <row r="69" spans="1:9">
      <c r="A69" s="3" t="s">
        <v>91</v>
      </c>
      <c r="B69" s="3"/>
      <c r="C69" s="3" t="s">
        <v>10</v>
      </c>
      <c r="D69" s="3">
        <v>0</v>
      </c>
      <c r="E69" s="3">
        <v>1</v>
      </c>
      <c r="F69" s="3" t="s">
        <v>20</v>
      </c>
      <c r="G69" s="3" t="s">
        <v>73</v>
      </c>
      <c r="H69" s="3" t="s">
        <v>13</v>
      </c>
      <c r="I69" s="3"/>
    </row>
    <row r="70" spans="1:9">
      <c r="A70" s="2" t="s">
        <v>92</v>
      </c>
      <c r="B70" s="2"/>
      <c r="C70" s="2" t="s">
        <v>23</v>
      </c>
      <c r="D70" s="2">
        <v>0</v>
      </c>
      <c r="E70" s="2">
        <v>1</v>
      </c>
      <c r="F70" s="2" t="s">
        <v>20</v>
      </c>
      <c r="G70" s="2" t="s">
        <v>73</v>
      </c>
      <c r="H70" s="2" t="s">
        <v>13</v>
      </c>
      <c r="I70" s="2"/>
    </row>
    <row r="71" spans="1:9">
      <c r="A71" s="3" t="s">
        <v>93</v>
      </c>
      <c r="B71" s="3"/>
      <c r="C71" s="3" t="s">
        <v>10</v>
      </c>
      <c r="D71" s="3">
        <v>0</v>
      </c>
      <c r="E71" s="3">
        <v>1</v>
      </c>
      <c r="F71" s="3" t="s">
        <v>20</v>
      </c>
      <c r="G71" s="3" t="s">
        <v>73</v>
      </c>
      <c r="H71" s="3" t="s">
        <v>13</v>
      </c>
      <c r="I71" s="3"/>
    </row>
    <row r="72" spans="1:9">
      <c r="A72" s="2" t="s">
        <v>94</v>
      </c>
      <c r="B72" s="2"/>
      <c r="C72" s="2" t="s">
        <v>16</v>
      </c>
      <c r="D72" s="2">
        <v>0</v>
      </c>
      <c r="E72" s="2">
        <v>1</v>
      </c>
      <c r="F72" s="2" t="s">
        <v>20</v>
      </c>
      <c r="G72" s="2" t="s">
        <v>73</v>
      </c>
      <c r="H72" s="2" t="s">
        <v>13</v>
      </c>
      <c r="I72" s="2"/>
    </row>
    <row r="73" spans="1:9">
      <c r="A73" s="3" t="s">
        <v>95</v>
      </c>
      <c r="B73" s="3"/>
      <c r="C73" s="3" t="s">
        <v>10</v>
      </c>
      <c r="D73" s="3">
        <v>0</v>
      </c>
      <c r="E73" s="3">
        <v>1</v>
      </c>
      <c r="F73" s="3" t="s">
        <v>20</v>
      </c>
      <c r="G73" s="3" t="s">
        <v>73</v>
      </c>
      <c r="H73" s="3" t="s">
        <v>13</v>
      </c>
      <c r="I73" s="3"/>
    </row>
    <row r="74" spans="1:9">
      <c r="A74" s="2" t="s">
        <v>96</v>
      </c>
      <c r="B74" s="2"/>
      <c r="C74" s="2" t="s">
        <v>10</v>
      </c>
      <c r="D74" s="2">
        <v>0</v>
      </c>
      <c r="E74" s="2">
        <v>1</v>
      </c>
      <c r="F74" s="2" t="s">
        <v>20</v>
      </c>
      <c r="G74" s="2" t="s">
        <v>73</v>
      </c>
      <c r="H74" s="2" t="s">
        <v>13</v>
      </c>
      <c r="I74" s="2"/>
    </row>
    <row r="75" spans="1:9">
      <c r="A75" s="3" t="s">
        <v>97</v>
      </c>
      <c r="B75" s="3"/>
      <c r="C75" s="3" t="s">
        <v>23</v>
      </c>
      <c r="D75" s="3">
        <v>0</v>
      </c>
      <c r="E75" s="3">
        <v>1</v>
      </c>
      <c r="F75" s="3" t="s">
        <v>20</v>
      </c>
      <c r="G75" s="3" t="s">
        <v>73</v>
      </c>
      <c r="H75" s="3" t="s">
        <v>13</v>
      </c>
      <c r="I75" s="3"/>
    </row>
    <row r="76" spans="1:9">
      <c r="A76" s="2" t="s">
        <v>98</v>
      </c>
      <c r="B76" s="2"/>
      <c r="C76" s="2" t="s">
        <v>23</v>
      </c>
      <c r="D76" s="2">
        <v>0</v>
      </c>
      <c r="E76" s="2">
        <v>1</v>
      </c>
      <c r="F76" s="2" t="s">
        <v>20</v>
      </c>
      <c r="G76" s="2" t="s">
        <v>73</v>
      </c>
      <c r="H76" s="2" t="s">
        <v>13</v>
      </c>
      <c r="I76" s="2"/>
    </row>
    <row r="77" spans="1:9">
      <c r="A77" s="3" t="s">
        <v>99</v>
      </c>
      <c r="B77" s="3">
        <v>1500000</v>
      </c>
      <c r="C77" s="3" t="s">
        <v>23</v>
      </c>
      <c r="D77" s="3">
        <v>1.5</v>
      </c>
      <c r="E77" s="3">
        <v>2.5</v>
      </c>
      <c r="F77" s="3"/>
      <c r="G77" s="3" t="s">
        <v>100</v>
      </c>
      <c r="H77" s="3" t="s">
        <v>13</v>
      </c>
      <c r="I77" s="3">
        <v>0.15</v>
      </c>
    </row>
    <row r="78" spans="1:9">
      <c r="A78" s="2" t="s">
        <v>101</v>
      </c>
      <c r="B78" s="2">
        <v>10000000</v>
      </c>
      <c r="C78" s="2" t="s">
        <v>23</v>
      </c>
      <c r="D78" s="2">
        <v>1</v>
      </c>
      <c r="E78" s="2">
        <v>2</v>
      </c>
      <c r="F78" s="2"/>
      <c r="G78" s="2" t="s">
        <v>100</v>
      </c>
      <c r="H78" s="2" t="s">
        <v>13</v>
      </c>
      <c r="I78" s="2">
        <v>1</v>
      </c>
    </row>
    <row r="79" spans="1:9">
      <c r="A79" s="3" t="s">
        <v>102</v>
      </c>
      <c r="B79" s="3">
        <v>2000000</v>
      </c>
      <c r="C79" s="3" t="s">
        <v>19</v>
      </c>
      <c r="D79" s="3">
        <v>0.9</v>
      </c>
      <c r="E79" s="3">
        <v>1.9</v>
      </c>
      <c r="F79" s="3" t="s">
        <v>51</v>
      </c>
      <c r="G79" s="3" t="s">
        <v>100</v>
      </c>
      <c r="H79" s="3" t="s">
        <v>13</v>
      </c>
      <c r="I79" s="3">
        <v>0.2</v>
      </c>
    </row>
    <row r="80" spans="1:9">
      <c r="A80" s="2" t="s">
        <v>103</v>
      </c>
      <c r="B80" s="2">
        <v>2000000</v>
      </c>
      <c r="C80" s="2" t="s">
        <v>10</v>
      </c>
      <c r="D80" s="2">
        <v>0.6</v>
      </c>
      <c r="E80" s="2">
        <v>1.6</v>
      </c>
      <c r="F80" s="2" t="s">
        <v>24</v>
      </c>
      <c r="G80" s="2" t="s">
        <v>100</v>
      </c>
      <c r="H80" s="2" t="s">
        <v>13</v>
      </c>
      <c r="I80" s="2">
        <v>0.2</v>
      </c>
    </row>
    <row r="81" spans="1:9">
      <c r="A81" s="3" t="s">
        <v>104</v>
      </c>
      <c r="B81" s="3">
        <v>5000000</v>
      </c>
      <c r="C81" s="3" t="s">
        <v>19</v>
      </c>
      <c r="D81" s="3">
        <v>0.5</v>
      </c>
      <c r="E81" s="3">
        <v>1.5</v>
      </c>
      <c r="F81" s="3"/>
      <c r="G81" s="3" t="s">
        <v>100</v>
      </c>
      <c r="H81" s="3" t="s">
        <v>13</v>
      </c>
      <c r="I81" s="3">
        <v>0.5</v>
      </c>
    </row>
    <row r="82" spans="1:9">
      <c r="A82" s="2" t="s">
        <v>105</v>
      </c>
      <c r="B82" s="2">
        <v>5000000</v>
      </c>
      <c r="C82" s="2" t="s">
        <v>16</v>
      </c>
      <c r="D82" s="2">
        <v>0.5</v>
      </c>
      <c r="E82" s="2">
        <v>1.5</v>
      </c>
      <c r="F82" s="2" t="s">
        <v>20</v>
      </c>
      <c r="G82" s="2" t="s">
        <v>100</v>
      </c>
      <c r="H82" s="2" t="s">
        <v>13</v>
      </c>
      <c r="I82" s="2">
        <v>0.5</v>
      </c>
    </row>
    <row r="83" spans="1:9">
      <c r="A83" s="3" t="s">
        <v>106</v>
      </c>
      <c r="B83" s="3">
        <v>2000000</v>
      </c>
      <c r="C83" s="3" t="s">
        <v>10</v>
      </c>
      <c r="D83" s="3">
        <v>0.2</v>
      </c>
      <c r="E83" s="3">
        <v>1.2</v>
      </c>
      <c r="F83" s="3"/>
      <c r="G83" s="3" t="s">
        <v>100</v>
      </c>
      <c r="H83" s="3" t="s">
        <v>13</v>
      </c>
      <c r="I83" s="3">
        <v>0.2</v>
      </c>
    </row>
    <row r="84" spans="1:9">
      <c r="A84" s="2" t="s">
        <v>107</v>
      </c>
      <c r="B84" s="2">
        <v>2000000</v>
      </c>
      <c r="C84" s="2" t="s">
        <v>10</v>
      </c>
      <c r="D84" s="2">
        <v>0.2</v>
      </c>
      <c r="E84" s="2">
        <v>1.2</v>
      </c>
      <c r="F84" s="2"/>
      <c r="G84" s="2" t="s">
        <v>100</v>
      </c>
      <c r="H84" s="2" t="s">
        <v>13</v>
      </c>
      <c r="I84" s="2">
        <v>0.2</v>
      </c>
    </row>
    <row r="85" spans="1:9">
      <c r="A85" s="3" t="s">
        <v>108</v>
      </c>
      <c r="B85" s="3"/>
      <c r="C85" s="3" t="s">
        <v>10</v>
      </c>
      <c r="D85" s="3">
        <v>0</v>
      </c>
      <c r="E85" s="3">
        <v>1</v>
      </c>
      <c r="F85" s="3" t="s">
        <v>11</v>
      </c>
      <c r="G85" s="3" t="s">
        <v>100</v>
      </c>
      <c r="H85" s="3" t="s">
        <v>13</v>
      </c>
      <c r="I85" s="3"/>
    </row>
    <row r="86" spans="1:9">
      <c r="A86" s="2" t="s">
        <v>109</v>
      </c>
      <c r="B86" s="2"/>
      <c r="C86" s="2" t="s">
        <v>16</v>
      </c>
      <c r="D86" s="2">
        <v>0</v>
      </c>
      <c r="E86" s="2">
        <v>1</v>
      </c>
      <c r="F86" s="2" t="s">
        <v>11</v>
      </c>
      <c r="G86" s="2" t="s">
        <v>100</v>
      </c>
      <c r="H86" s="2" t="s">
        <v>13</v>
      </c>
      <c r="I86" s="2"/>
    </row>
    <row r="87" spans="1:9">
      <c r="A87" s="3" t="s">
        <v>110</v>
      </c>
      <c r="B87" s="3"/>
      <c r="C87" s="3" t="s">
        <v>10</v>
      </c>
      <c r="D87" s="3">
        <v>0</v>
      </c>
      <c r="E87" s="3">
        <v>1</v>
      </c>
      <c r="F87" s="3" t="s">
        <v>11</v>
      </c>
      <c r="G87" s="3" t="s">
        <v>100</v>
      </c>
      <c r="H87" s="3" t="s">
        <v>13</v>
      </c>
      <c r="I87" s="3"/>
    </row>
    <row r="88" spans="1:9">
      <c r="A88" s="2" t="s">
        <v>111</v>
      </c>
      <c r="B88" s="2"/>
      <c r="C88" s="2" t="s">
        <v>10</v>
      </c>
      <c r="D88" s="2">
        <v>0</v>
      </c>
      <c r="E88" s="2">
        <v>1</v>
      </c>
      <c r="F88" s="2" t="s">
        <v>11</v>
      </c>
      <c r="G88" s="2" t="s">
        <v>100</v>
      </c>
      <c r="H88" s="2" t="s">
        <v>13</v>
      </c>
      <c r="I88" s="2"/>
    </row>
    <row r="89" spans="1:9">
      <c r="A89" s="3" t="s">
        <v>112</v>
      </c>
      <c r="B89" s="3"/>
      <c r="C89" s="3" t="s">
        <v>10</v>
      </c>
      <c r="D89" s="3">
        <v>0</v>
      </c>
      <c r="E89" s="3">
        <v>1</v>
      </c>
      <c r="F89" s="3" t="s">
        <v>11</v>
      </c>
      <c r="G89" s="3" t="s">
        <v>100</v>
      </c>
      <c r="H89" s="3" t="s">
        <v>13</v>
      </c>
      <c r="I89" s="3"/>
    </row>
    <row r="90" spans="1:9">
      <c r="A90" s="2" t="s">
        <v>113</v>
      </c>
      <c r="B90" s="2"/>
      <c r="C90" s="2" t="s">
        <v>10</v>
      </c>
      <c r="D90" s="2">
        <v>0</v>
      </c>
      <c r="E90" s="2">
        <v>1</v>
      </c>
      <c r="F90" s="2" t="s">
        <v>11</v>
      </c>
      <c r="G90" s="2" t="s">
        <v>100</v>
      </c>
      <c r="H90" s="2" t="s">
        <v>13</v>
      </c>
      <c r="I90" s="2"/>
    </row>
    <row r="91" spans="1:9">
      <c r="A91" s="3" t="s">
        <v>114</v>
      </c>
      <c r="B91" s="3"/>
      <c r="C91" s="3" t="s">
        <v>23</v>
      </c>
      <c r="D91" s="3">
        <v>0</v>
      </c>
      <c r="E91" s="3">
        <v>1</v>
      </c>
      <c r="F91" s="3" t="s">
        <v>11</v>
      </c>
      <c r="G91" s="3" t="s">
        <v>100</v>
      </c>
      <c r="H91" s="3" t="s">
        <v>13</v>
      </c>
      <c r="I91" s="3"/>
    </row>
    <row r="92" spans="1:9">
      <c r="A92" s="2" t="s">
        <v>115</v>
      </c>
      <c r="B92" s="2"/>
      <c r="C92" s="2" t="s">
        <v>10</v>
      </c>
      <c r="D92" s="2">
        <v>0</v>
      </c>
      <c r="E92" s="2">
        <v>1</v>
      </c>
      <c r="F92" s="2" t="s">
        <v>11</v>
      </c>
      <c r="G92" s="2" t="s">
        <v>100</v>
      </c>
      <c r="H92" s="2" t="s">
        <v>13</v>
      </c>
      <c r="I92" s="2"/>
    </row>
    <row r="93" spans="1:9">
      <c r="A93" s="3" t="s">
        <v>116</v>
      </c>
      <c r="B93" s="3"/>
      <c r="C93" s="3" t="s">
        <v>23</v>
      </c>
      <c r="D93" s="3">
        <v>0</v>
      </c>
      <c r="E93" s="3">
        <v>1</v>
      </c>
      <c r="F93" s="3" t="s">
        <v>11</v>
      </c>
      <c r="G93" s="3" t="s">
        <v>100</v>
      </c>
      <c r="H93" s="3" t="s">
        <v>13</v>
      </c>
      <c r="I93" s="3"/>
    </row>
    <row r="94" spans="1:9">
      <c r="A94" s="2" t="s">
        <v>117</v>
      </c>
      <c r="B94" s="2"/>
      <c r="C94" s="2" t="s">
        <v>23</v>
      </c>
      <c r="D94" s="2">
        <v>0</v>
      </c>
      <c r="E94" s="2">
        <v>1</v>
      </c>
      <c r="F94" s="2" t="s">
        <v>11</v>
      </c>
      <c r="G94" s="2" t="s">
        <v>100</v>
      </c>
      <c r="H94" s="2" t="s">
        <v>13</v>
      </c>
      <c r="I94" s="2"/>
    </row>
    <row r="95" spans="1:9">
      <c r="A95" s="3" t="s">
        <v>118</v>
      </c>
      <c r="B95" s="3"/>
      <c r="C95" s="3" t="s">
        <v>10</v>
      </c>
      <c r="D95" s="3">
        <v>0</v>
      </c>
      <c r="E95" s="3">
        <v>1</v>
      </c>
      <c r="F95" s="3" t="s">
        <v>11</v>
      </c>
      <c r="G95" s="3" t="s">
        <v>100</v>
      </c>
      <c r="H95" s="3" t="s">
        <v>13</v>
      </c>
      <c r="I95" s="3"/>
    </row>
    <row r="96" spans="1:9">
      <c r="A96" s="2" t="s">
        <v>119</v>
      </c>
      <c r="B96" s="2"/>
      <c r="C96" s="2" t="s">
        <v>23</v>
      </c>
      <c r="D96" s="2">
        <v>0</v>
      </c>
      <c r="E96" s="2">
        <v>1</v>
      </c>
      <c r="F96" s="2" t="s">
        <v>11</v>
      </c>
      <c r="G96" s="2" t="s">
        <v>100</v>
      </c>
      <c r="H96" s="2" t="s">
        <v>13</v>
      </c>
      <c r="I96" s="2"/>
    </row>
    <row r="97" spans="1:9">
      <c r="A97" s="3" t="s">
        <v>120</v>
      </c>
      <c r="B97" s="3"/>
      <c r="C97" s="3" t="s">
        <v>19</v>
      </c>
      <c r="D97" s="3">
        <v>0</v>
      </c>
      <c r="E97" s="3">
        <v>1</v>
      </c>
      <c r="F97" s="3" t="s">
        <v>11</v>
      </c>
      <c r="G97" s="3" t="s">
        <v>100</v>
      </c>
      <c r="H97" s="3" t="s">
        <v>13</v>
      </c>
      <c r="I97" s="3"/>
    </row>
    <row r="98" spans="1:9">
      <c r="A98" s="2" t="s">
        <v>121</v>
      </c>
      <c r="B98" s="2"/>
      <c r="C98" s="2" t="s">
        <v>16</v>
      </c>
      <c r="D98" s="2">
        <v>0</v>
      </c>
      <c r="E98" s="2">
        <v>1</v>
      </c>
      <c r="F98" s="2" t="s">
        <v>11</v>
      </c>
      <c r="G98" s="2" t="s">
        <v>100</v>
      </c>
      <c r="H98" s="2" t="s">
        <v>13</v>
      </c>
      <c r="I98" s="2"/>
    </row>
    <row r="99" spans="1:9">
      <c r="A99" s="3" t="s">
        <v>122</v>
      </c>
      <c r="B99" s="3">
        <v>20000000</v>
      </c>
      <c r="C99" s="3" t="s">
        <v>23</v>
      </c>
      <c r="D99" s="3">
        <v>18.5</v>
      </c>
      <c r="E99" s="3">
        <v>19.5</v>
      </c>
      <c r="F99" s="3"/>
      <c r="G99" s="3" t="s">
        <v>123</v>
      </c>
      <c r="H99" s="3" t="s">
        <v>13</v>
      </c>
      <c r="I99" s="3">
        <v>2</v>
      </c>
    </row>
    <row r="100" spans="1:9">
      <c r="A100" s="2" t="s">
        <v>124</v>
      </c>
      <c r="B100" s="2">
        <v>5000000</v>
      </c>
      <c r="C100" s="2" t="s">
        <v>23</v>
      </c>
      <c r="D100" s="2">
        <v>0.5</v>
      </c>
      <c r="E100" s="2">
        <v>1.5</v>
      </c>
      <c r="F100" s="2"/>
      <c r="G100" s="2" t="s">
        <v>123</v>
      </c>
      <c r="H100" s="2" t="s">
        <v>13</v>
      </c>
      <c r="I100" s="2">
        <v>0.5</v>
      </c>
    </row>
    <row r="101" spans="1:9">
      <c r="A101" s="3" t="s">
        <v>125</v>
      </c>
      <c r="B101" s="3">
        <v>2000000</v>
      </c>
      <c r="C101" s="3" t="s">
        <v>16</v>
      </c>
      <c r="D101" s="3">
        <v>0.4</v>
      </c>
      <c r="E101" s="3">
        <v>1.4</v>
      </c>
      <c r="F101" s="3"/>
      <c r="G101" s="3" t="s">
        <v>123</v>
      </c>
      <c r="H101" s="3" t="s">
        <v>13</v>
      </c>
      <c r="I101" s="3">
        <v>0.2</v>
      </c>
    </row>
    <row r="102" spans="1:9">
      <c r="A102" s="2" t="s">
        <v>126</v>
      </c>
      <c r="B102" s="2">
        <v>2000000</v>
      </c>
      <c r="C102" s="2" t="s">
        <v>23</v>
      </c>
      <c r="D102" s="2">
        <v>0.2</v>
      </c>
      <c r="E102" s="2">
        <v>1.2</v>
      </c>
      <c r="F102" s="2"/>
      <c r="G102" s="2" t="s">
        <v>123</v>
      </c>
      <c r="H102" s="2" t="s">
        <v>13</v>
      </c>
      <c r="I102" s="2">
        <v>0.2</v>
      </c>
    </row>
    <row r="103" spans="1:9">
      <c r="A103" s="3" t="s">
        <v>127</v>
      </c>
      <c r="B103" s="3">
        <v>2000000</v>
      </c>
      <c r="C103" s="3" t="s">
        <v>10</v>
      </c>
      <c r="D103" s="3">
        <v>0.2</v>
      </c>
      <c r="E103" s="3">
        <v>1.2</v>
      </c>
      <c r="F103" s="3"/>
      <c r="G103" s="3" t="s">
        <v>123</v>
      </c>
      <c r="H103" s="3" t="s">
        <v>13</v>
      </c>
      <c r="I103" s="3">
        <v>0.2</v>
      </c>
    </row>
    <row r="104" spans="1:9">
      <c r="A104" s="2" t="s">
        <v>128</v>
      </c>
      <c r="B104" s="2">
        <v>5000000</v>
      </c>
      <c r="C104" s="2" t="s">
        <v>19</v>
      </c>
      <c r="D104" s="2">
        <v>0.2</v>
      </c>
      <c r="E104" s="2">
        <v>1.2</v>
      </c>
      <c r="F104" s="2"/>
      <c r="G104" s="2" t="s">
        <v>123</v>
      </c>
      <c r="H104" s="2" t="s">
        <v>13</v>
      </c>
      <c r="I104" s="2">
        <v>0.5</v>
      </c>
    </row>
    <row r="105" spans="1:9">
      <c r="A105" s="3" t="s">
        <v>129</v>
      </c>
      <c r="B105" s="3"/>
      <c r="C105" s="3" t="s">
        <v>23</v>
      </c>
      <c r="D105" s="3">
        <v>0</v>
      </c>
      <c r="E105" s="3">
        <v>1</v>
      </c>
      <c r="F105" s="3" t="s">
        <v>24</v>
      </c>
      <c r="G105" s="3" t="s">
        <v>123</v>
      </c>
      <c r="H105" s="3" t="s">
        <v>13</v>
      </c>
      <c r="I105" s="3"/>
    </row>
    <row r="106" spans="1:9">
      <c r="A106" s="2" t="s">
        <v>130</v>
      </c>
      <c r="B106" s="2"/>
      <c r="C106" s="2" t="s">
        <v>10</v>
      </c>
      <c r="D106" s="2">
        <v>0</v>
      </c>
      <c r="E106" s="2">
        <v>1</v>
      </c>
      <c r="F106" s="2" t="s">
        <v>24</v>
      </c>
      <c r="G106" s="2" t="s">
        <v>123</v>
      </c>
      <c r="H106" s="2" t="s">
        <v>13</v>
      </c>
      <c r="I106" s="2"/>
    </row>
    <row r="107" spans="1:9">
      <c r="A107" s="3" t="s">
        <v>131</v>
      </c>
      <c r="B107" s="3"/>
      <c r="C107" s="3" t="s">
        <v>23</v>
      </c>
      <c r="D107" s="3">
        <v>0</v>
      </c>
      <c r="E107" s="3">
        <v>1</v>
      </c>
      <c r="F107" s="3" t="s">
        <v>24</v>
      </c>
      <c r="G107" s="3" t="s">
        <v>123</v>
      </c>
      <c r="H107" s="3" t="s">
        <v>13</v>
      </c>
      <c r="I107" s="3"/>
    </row>
    <row r="108" spans="1:9">
      <c r="A108" s="2" t="s">
        <v>132</v>
      </c>
      <c r="B108" s="2"/>
      <c r="C108" s="2" t="s">
        <v>16</v>
      </c>
      <c r="D108" s="2">
        <v>0</v>
      </c>
      <c r="E108" s="2">
        <v>1</v>
      </c>
      <c r="F108" s="2" t="s">
        <v>24</v>
      </c>
      <c r="G108" s="2" t="s">
        <v>123</v>
      </c>
      <c r="H108" s="2" t="s">
        <v>13</v>
      </c>
      <c r="I108" s="2"/>
    </row>
    <row r="109" spans="1:9">
      <c r="A109" s="3" t="s">
        <v>133</v>
      </c>
      <c r="B109" s="3"/>
      <c r="C109" s="3" t="s">
        <v>19</v>
      </c>
      <c r="D109" s="3">
        <v>0</v>
      </c>
      <c r="E109" s="3">
        <v>1</v>
      </c>
      <c r="F109" s="3" t="s">
        <v>24</v>
      </c>
      <c r="G109" s="3" t="s">
        <v>123</v>
      </c>
      <c r="H109" s="3" t="s">
        <v>13</v>
      </c>
      <c r="I109" s="3"/>
    </row>
    <row r="110" spans="1:9">
      <c r="A110" s="2" t="s">
        <v>134</v>
      </c>
      <c r="B110" s="2"/>
      <c r="C110" s="2" t="s">
        <v>10</v>
      </c>
      <c r="D110" s="2">
        <v>0</v>
      </c>
      <c r="E110" s="2">
        <v>1</v>
      </c>
      <c r="F110" s="2" t="s">
        <v>24</v>
      </c>
      <c r="G110" s="2" t="s">
        <v>123</v>
      </c>
      <c r="H110" s="2" t="s">
        <v>13</v>
      </c>
      <c r="I110" s="2"/>
    </row>
    <row r="111" spans="1:9">
      <c r="A111" s="3" t="s">
        <v>135</v>
      </c>
      <c r="B111" s="3"/>
      <c r="C111" s="3" t="s">
        <v>19</v>
      </c>
      <c r="D111" s="3">
        <v>0</v>
      </c>
      <c r="E111" s="3">
        <v>1</v>
      </c>
      <c r="F111" s="3" t="s">
        <v>24</v>
      </c>
      <c r="G111" s="3" t="s">
        <v>123</v>
      </c>
      <c r="H111" s="3" t="s">
        <v>13</v>
      </c>
      <c r="I111" s="3"/>
    </row>
    <row r="112" spans="1:9">
      <c r="A112" s="2" t="s">
        <v>136</v>
      </c>
      <c r="B112" s="2"/>
      <c r="C112" s="2" t="s">
        <v>10</v>
      </c>
      <c r="D112" s="2">
        <v>0</v>
      </c>
      <c r="E112" s="2">
        <v>1</v>
      </c>
      <c r="F112" s="2" t="s">
        <v>24</v>
      </c>
      <c r="G112" s="2" t="s">
        <v>123</v>
      </c>
      <c r="H112" s="2" t="s">
        <v>13</v>
      </c>
      <c r="I112" s="2"/>
    </row>
    <row r="113" spans="1:9">
      <c r="A113" s="3" t="s">
        <v>137</v>
      </c>
      <c r="B113" s="3"/>
      <c r="C113" s="3" t="s">
        <v>23</v>
      </c>
      <c r="D113" s="3">
        <v>0</v>
      </c>
      <c r="E113" s="3">
        <v>1</v>
      </c>
      <c r="F113" s="3" t="s">
        <v>24</v>
      </c>
      <c r="G113" s="3" t="s">
        <v>123</v>
      </c>
      <c r="H113" s="3" t="s">
        <v>13</v>
      </c>
      <c r="I113" s="3"/>
    </row>
    <row r="114" spans="1:9">
      <c r="A114" s="2" t="s">
        <v>138</v>
      </c>
      <c r="B114" s="2"/>
      <c r="C114" s="2" t="s">
        <v>23</v>
      </c>
      <c r="D114" s="2">
        <v>0</v>
      </c>
      <c r="E114" s="2">
        <v>1</v>
      </c>
      <c r="F114" s="2" t="s">
        <v>24</v>
      </c>
      <c r="G114" s="2" t="s">
        <v>123</v>
      </c>
      <c r="H114" s="2" t="s">
        <v>13</v>
      </c>
      <c r="I114" s="2"/>
    </row>
    <row r="115" spans="1:9">
      <c r="A115" s="3" t="s">
        <v>139</v>
      </c>
      <c r="B115" s="3"/>
      <c r="C115" s="3" t="s">
        <v>16</v>
      </c>
      <c r="D115" s="3">
        <v>0</v>
      </c>
      <c r="E115" s="3">
        <v>1</v>
      </c>
      <c r="F115" s="3" t="s">
        <v>24</v>
      </c>
      <c r="G115" s="3" t="s">
        <v>123</v>
      </c>
      <c r="H115" s="3" t="s">
        <v>13</v>
      </c>
      <c r="I115" s="3"/>
    </row>
    <row r="116" spans="1:9">
      <c r="A116" s="2" t="s">
        <v>140</v>
      </c>
      <c r="B116" s="2"/>
      <c r="C116" s="2" t="s">
        <v>10</v>
      </c>
      <c r="D116" s="2">
        <v>0</v>
      </c>
      <c r="E116" s="2">
        <v>1</v>
      </c>
      <c r="F116" s="2" t="s">
        <v>24</v>
      </c>
      <c r="G116" s="2" t="s">
        <v>123</v>
      </c>
      <c r="H116" s="2" t="s">
        <v>13</v>
      </c>
      <c r="I116" s="2"/>
    </row>
    <row r="117" spans="1:9">
      <c r="A117" s="3" t="s">
        <v>141</v>
      </c>
      <c r="B117" s="3"/>
      <c r="C117" s="3" t="s">
        <v>10</v>
      </c>
      <c r="D117" s="3">
        <v>0</v>
      </c>
      <c r="E117" s="3">
        <v>1</v>
      </c>
      <c r="F117" s="3" t="s">
        <v>24</v>
      </c>
      <c r="G117" s="3" t="s">
        <v>123</v>
      </c>
      <c r="H117" s="3" t="s">
        <v>13</v>
      </c>
      <c r="I117" s="3"/>
    </row>
    <row r="118" spans="1:9">
      <c r="A118" s="2" t="s">
        <v>142</v>
      </c>
      <c r="B118" s="2"/>
      <c r="C118" s="2" t="s">
        <v>19</v>
      </c>
      <c r="D118" s="2">
        <v>0</v>
      </c>
      <c r="E118" s="2">
        <v>1</v>
      </c>
      <c r="F118" s="2" t="s">
        <v>24</v>
      </c>
      <c r="G118" s="2" t="s">
        <v>123</v>
      </c>
      <c r="H118" s="2" t="s">
        <v>13</v>
      </c>
      <c r="I118" s="2"/>
    </row>
    <row r="119" spans="1:9">
      <c r="A119" s="3" t="s">
        <v>143</v>
      </c>
      <c r="B119" s="3"/>
      <c r="C119" s="3" t="s">
        <v>23</v>
      </c>
      <c r="D119" s="3">
        <v>0</v>
      </c>
      <c r="E119" s="3">
        <v>1</v>
      </c>
      <c r="F119" s="3" t="s">
        <v>24</v>
      </c>
      <c r="G119" s="3" t="s">
        <v>123</v>
      </c>
      <c r="H119" s="3" t="s">
        <v>13</v>
      </c>
      <c r="I119" s="3"/>
    </row>
    <row r="120" spans="1:9">
      <c r="A120" s="2" t="s">
        <v>144</v>
      </c>
      <c r="B120" s="2"/>
      <c r="C120" s="2" t="s">
        <v>23</v>
      </c>
      <c r="D120" s="2">
        <v>0</v>
      </c>
      <c r="E120" s="2">
        <v>1</v>
      </c>
      <c r="F120" s="2" t="s">
        <v>24</v>
      </c>
      <c r="G120" s="2" t="s">
        <v>123</v>
      </c>
      <c r="H120" s="2" t="s">
        <v>13</v>
      </c>
      <c r="I120" s="2"/>
    </row>
    <row r="121" spans="1:9">
      <c r="A121" s="3" t="s">
        <v>145</v>
      </c>
      <c r="B121" s="3">
        <v>20000000</v>
      </c>
      <c r="C121" s="3" t="s">
        <v>19</v>
      </c>
      <c r="D121" s="3">
        <v>16</v>
      </c>
      <c r="E121" s="3">
        <v>17</v>
      </c>
      <c r="F121" s="3" t="s">
        <v>17</v>
      </c>
      <c r="G121" s="3" t="s">
        <v>146</v>
      </c>
      <c r="H121" s="3" t="s">
        <v>13</v>
      </c>
      <c r="I121" s="3">
        <v>2</v>
      </c>
    </row>
    <row r="122" spans="1:9">
      <c r="A122" s="2" t="s">
        <v>147</v>
      </c>
      <c r="B122" s="2">
        <v>7500000</v>
      </c>
      <c r="C122" s="2" t="s">
        <v>23</v>
      </c>
      <c r="D122" s="2">
        <v>0.75</v>
      </c>
      <c r="E122" s="2">
        <v>1.75</v>
      </c>
      <c r="F122" s="2" t="s">
        <v>148</v>
      </c>
      <c r="G122" s="2" t="s">
        <v>146</v>
      </c>
      <c r="H122" s="2" t="s">
        <v>13</v>
      </c>
      <c r="I122" s="2">
        <v>0.75</v>
      </c>
    </row>
    <row r="123" spans="1:9">
      <c r="A123" s="3" t="s">
        <v>149</v>
      </c>
      <c r="B123" s="3">
        <v>5000000</v>
      </c>
      <c r="C123" s="3" t="s">
        <v>10</v>
      </c>
      <c r="D123" s="3">
        <v>0.5</v>
      </c>
      <c r="E123" s="3">
        <v>1.5</v>
      </c>
      <c r="F123" s="3" t="s">
        <v>148</v>
      </c>
      <c r="G123" s="3" t="s">
        <v>146</v>
      </c>
      <c r="H123" s="3" t="s">
        <v>13</v>
      </c>
      <c r="I123" s="3">
        <v>0.5</v>
      </c>
    </row>
    <row r="124" spans="1:9">
      <c r="A124" s="2" t="s">
        <v>150</v>
      </c>
      <c r="B124" s="2">
        <v>5000000</v>
      </c>
      <c r="C124" s="2" t="s">
        <v>10</v>
      </c>
      <c r="D124" s="2">
        <v>0.5</v>
      </c>
      <c r="E124" s="2">
        <v>1.5</v>
      </c>
      <c r="F124" s="2"/>
      <c r="G124" s="2" t="s">
        <v>146</v>
      </c>
      <c r="H124" s="2" t="s">
        <v>13</v>
      </c>
      <c r="I124" s="2">
        <v>0.5</v>
      </c>
    </row>
    <row r="125" spans="1:9">
      <c r="A125" s="3" t="s">
        <v>151</v>
      </c>
      <c r="B125" s="3">
        <v>5000000</v>
      </c>
      <c r="C125" s="3" t="s">
        <v>10</v>
      </c>
      <c r="D125" s="3">
        <v>0.5</v>
      </c>
      <c r="E125" s="3">
        <v>1.5</v>
      </c>
      <c r="F125" s="3"/>
      <c r="G125" s="3" t="s">
        <v>146</v>
      </c>
      <c r="H125" s="3" t="s">
        <v>13</v>
      </c>
      <c r="I125" s="3">
        <v>0.5</v>
      </c>
    </row>
    <row r="126" spans="1:9">
      <c r="A126" s="2" t="s">
        <v>152</v>
      </c>
      <c r="B126" s="2">
        <v>5000000</v>
      </c>
      <c r="C126" s="2" t="s">
        <v>23</v>
      </c>
      <c r="D126" s="2">
        <v>0.5</v>
      </c>
      <c r="E126" s="2">
        <v>1.5</v>
      </c>
      <c r="F126" s="2" t="s">
        <v>17</v>
      </c>
      <c r="G126" s="2" t="s">
        <v>146</v>
      </c>
      <c r="H126" s="2" t="s">
        <v>13</v>
      </c>
      <c r="I126" s="2">
        <v>0.5</v>
      </c>
    </row>
    <row r="127" spans="1:9">
      <c r="A127" s="3" t="s">
        <v>153</v>
      </c>
      <c r="B127" s="3">
        <v>2000000</v>
      </c>
      <c r="C127" s="3" t="s">
        <v>10</v>
      </c>
      <c r="D127" s="3">
        <v>0.45</v>
      </c>
      <c r="E127" s="3">
        <v>1.45</v>
      </c>
      <c r="F127" s="3"/>
      <c r="G127" s="3" t="s">
        <v>146</v>
      </c>
      <c r="H127" s="3" t="s">
        <v>13</v>
      </c>
      <c r="I127" s="3">
        <v>0.2</v>
      </c>
    </row>
    <row r="128" spans="1:9">
      <c r="A128" s="2" t="s">
        <v>154</v>
      </c>
      <c r="B128" s="2">
        <v>2000000</v>
      </c>
      <c r="C128" s="2" t="s">
        <v>23</v>
      </c>
      <c r="D128" s="2">
        <v>0.2</v>
      </c>
      <c r="E128" s="2">
        <v>1.2</v>
      </c>
      <c r="F128" s="2"/>
      <c r="G128" s="2" t="s">
        <v>146</v>
      </c>
      <c r="H128" s="2" t="s">
        <v>13</v>
      </c>
      <c r="I128" s="2">
        <v>0.2</v>
      </c>
    </row>
    <row r="129" spans="1:9">
      <c r="A129" s="3" t="s">
        <v>155</v>
      </c>
      <c r="B129" s="3">
        <v>2000000</v>
      </c>
      <c r="C129" s="3" t="s">
        <v>23</v>
      </c>
      <c r="D129" s="3">
        <v>0.2</v>
      </c>
      <c r="E129" s="3">
        <v>1.2</v>
      </c>
      <c r="F129" s="3"/>
      <c r="G129" s="3" t="s">
        <v>146</v>
      </c>
      <c r="H129" s="3" t="s">
        <v>13</v>
      </c>
      <c r="I129" s="3">
        <v>0.2</v>
      </c>
    </row>
    <row r="130" spans="1:9">
      <c r="A130" s="2" t="s">
        <v>156</v>
      </c>
      <c r="B130" s="2">
        <v>2000000</v>
      </c>
      <c r="C130" s="2" t="s">
        <v>23</v>
      </c>
      <c r="D130" s="2">
        <v>0.2</v>
      </c>
      <c r="E130" s="2">
        <v>1.2</v>
      </c>
      <c r="F130" s="2" t="s">
        <v>24</v>
      </c>
      <c r="G130" s="2" t="s">
        <v>146</v>
      </c>
      <c r="H130" s="2" t="s">
        <v>13</v>
      </c>
      <c r="I130" s="2">
        <v>0.2</v>
      </c>
    </row>
    <row r="131" spans="1:9">
      <c r="A131" s="3" t="s">
        <v>157</v>
      </c>
      <c r="B131" s="3"/>
      <c r="C131" s="3" t="s">
        <v>10</v>
      </c>
      <c r="D131" s="3">
        <v>0</v>
      </c>
      <c r="E131" s="3">
        <v>1</v>
      </c>
      <c r="F131" s="3" t="s">
        <v>76</v>
      </c>
      <c r="G131" s="3" t="s">
        <v>146</v>
      </c>
      <c r="H131" s="3" t="s">
        <v>13</v>
      </c>
      <c r="I131" s="3"/>
    </row>
    <row r="132" spans="1:9">
      <c r="A132" s="2" t="s">
        <v>158</v>
      </c>
      <c r="B132" s="2"/>
      <c r="C132" s="2" t="s">
        <v>23</v>
      </c>
      <c r="D132" s="2">
        <v>0</v>
      </c>
      <c r="E132" s="2">
        <v>1</v>
      </c>
      <c r="F132" s="2" t="s">
        <v>76</v>
      </c>
      <c r="G132" s="2" t="s">
        <v>146</v>
      </c>
      <c r="H132" s="2" t="s">
        <v>13</v>
      </c>
      <c r="I132" s="2"/>
    </row>
    <row r="133" spans="1:9">
      <c r="A133" s="3" t="s">
        <v>159</v>
      </c>
      <c r="B133" s="3"/>
      <c r="C133" s="3" t="s">
        <v>10</v>
      </c>
      <c r="D133" s="3">
        <v>0</v>
      </c>
      <c r="E133" s="3">
        <v>1</v>
      </c>
      <c r="F133" s="3" t="s">
        <v>76</v>
      </c>
      <c r="G133" s="3" t="s">
        <v>146</v>
      </c>
      <c r="H133" s="3" t="s">
        <v>13</v>
      </c>
      <c r="I133" s="3"/>
    </row>
    <row r="134" spans="1:9">
      <c r="A134" s="2" t="s">
        <v>160</v>
      </c>
      <c r="B134" s="2"/>
      <c r="C134" s="2" t="s">
        <v>10</v>
      </c>
      <c r="D134" s="2">
        <v>0</v>
      </c>
      <c r="E134" s="2">
        <v>1</v>
      </c>
      <c r="F134" s="2" t="s">
        <v>76</v>
      </c>
      <c r="G134" s="2" t="s">
        <v>146</v>
      </c>
      <c r="H134" s="2" t="s">
        <v>13</v>
      </c>
      <c r="I134" s="2"/>
    </row>
    <row r="135" spans="1:9">
      <c r="A135" s="3" t="s">
        <v>161</v>
      </c>
      <c r="B135" s="3"/>
      <c r="C135" s="3" t="s">
        <v>19</v>
      </c>
      <c r="D135" s="3">
        <v>0</v>
      </c>
      <c r="E135" s="3">
        <v>1</v>
      </c>
      <c r="F135" s="3" t="s">
        <v>76</v>
      </c>
      <c r="G135" s="3" t="s">
        <v>146</v>
      </c>
      <c r="H135" s="3" t="s">
        <v>13</v>
      </c>
      <c r="I135" s="3"/>
    </row>
    <row r="136" spans="1:9">
      <c r="A136" s="2" t="s">
        <v>162</v>
      </c>
      <c r="B136" s="2"/>
      <c r="C136" s="2" t="s">
        <v>16</v>
      </c>
      <c r="D136" s="2">
        <v>0</v>
      </c>
      <c r="E136" s="2">
        <v>1</v>
      </c>
      <c r="F136" s="2" t="s">
        <v>76</v>
      </c>
      <c r="G136" s="2" t="s">
        <v>146</v>
      </c>
      <c r="H136" s="2" t="s">
        <v>13</v>
      </c>
      <c r="I136" s="2"/>
    </row>
    <row r="137" spans="1:9">
      <c r="A137" s="3" t="s">
        <v>163</v>
      </c>
      <c r="B137" s="3"/>
      <c r="C137" s="3" t="s">
        <v>10</v>
      </c>
      <c r="D137" s="3">
        <v>0</v>
      </c>
      <c r="E137" s="3">
        <v>1</v>
      </c>
      <c r="F137" s="3" t="s">
        <v>76</v>
      </c>
      <c r="G137" s="3" t="s">
        <v>146</v>
      </c>
      <c r="H137" s="3" t="s">
        <v>13</v>
      </c>
      <c r="I137" s="3"/>
    </row>
    <row r="138" spans="1:9">
      <c r="A138" s="2" t="s">
        <v>164</v>
      </c>
      <c r="B138" s="2"/>
      <c r="C138" s="2" t="s">
        <v>23</v>
      </c>
      <c r="D138" s="2">
        <v>0</v>
      </c>
      <c r="E138" s="2">
        <v>1</v>
      </c>
      <c r="F138" s="2" t="s">
        <v>76</v>
      </c>
      <c r="G138" s="2" t="s">
        <v>146</v>
      </c>
      <c r="H138" s="2" t="s">
        <v>13</v>
      </c>
      <c r="I138" s="2"/>
    </row>
    <row r="139" spans="1:9">
      <c r="A139" s="3" t="s">
        <v>165</v>
      </c>
      <c r="B139" s="3"/>
      <c r="C139" s="3" t="s">
        <v>23</v>
      </c>
      <c r="D139" s="3">
        <v>0</v>
      </c>
      <c r="E139" s="3">
        <v>1</v>
      </c>
      <c r="F139" s="3" t="s">
        <v>76</v>
      </c>
      <c r="G139" s="3" t="s">
        <v>146</v>
      </c>
      <c r="H139" s="3" t="s">
        <v>13</v>
      </c>
      <c r="I139" s="3"/>
    </row>
    <row r="140" spans="1:9">
      <c r="A140" s="2" t="s">
        <v>166</v>
      </c>
      <c r="B140" s="2"/>
      <c r="C140" s="2" t="s">
        <v>10</v>
      </c>
      <c r="D140" s="2">
        <v>0</v>
      </c>
      <c r="E140" s="2">
        <v>1</v>
      </c>
      <c r="F140" s="2" t="s">
        <v>76</v>
      </c>
      <c r="G140" s="2" t="s">
        <v>146</v>
      </c>
      <c r="H140" s="2" t="s">
        <v>13</v>
      </c>
      <c r="I140" s="2"/>
    </row>
    <row r="141" spans="1:9">
      <c r="A141" s="3" t="s">
        <v>167</v>
      </c>
      <c r="B141" s="3"/>
      <c r="C141" s="3" t="s">
        <v>23</v>
      </c>
      <c r="D141" s="3">
        <v>0</v>
      </c>
      <c r="E141" s="3">
        <v>1</v>
      </c>
      <c r="F141" s="3" t="s">
        <v>76</v>
      </c>
      <c r="G141" s="3" t="s">
        <v>146</v>
      </c>
      <c r="H141" s="3" t="s">
        <v>13</v>
      </c>
      <c r="I141" s="3"/>
    </row>
    <row r="142" spans="1:9">
      <c r="A142" s="2" t="s">
        <v>168</v>
      </c>
      <c r="B142" s="2"/>
      <c r="C142" s="2" t="s">
        <v>23</v>
      </c>
      <c r="D142" s="2">
        <v>0</v>
      </c>
      <c r="E142" s="2">
        <v>1</v>
      </c>
      <c r="F142" s="2" t="s">
        <v>76</v>
      </c>
      <c r="G142" s="2" t="s">
        <v>146</v>
      </c>
      <c r="H142" s="2" t="s">
        <v>13</v>
      </c>
      <c r="I142" s="2"/>
    </row>
    <row r="143" spans="1:9">
      <c r="A143" s="3" t="s">
        <v>169</v>
      </c>
      <c r="B143" s="3"/>
      <c r="C143" s="3" t="s">
        <v>23</v>
      </c>
      <c r="D143" s="3">
        <v>0</v>
      </c>
      <c r="E143" s="3">
        <v>1</v>
      </c>
      <c r="F143" s="3" t="s">
        <v>76</v>
      </c>
      <c r="G143" s="3" t="s">
        <v>146</v>
      </c>
      <c r="H143" s="3" t="s">
        <v>13</v>
      </c>
      <c r="I143" s="3"/>
    </row>
    <row r="144" spans="1:9">
      <c r="A144" s="2" t="s">
        <v>170</v>
      </c>
      <c r="B144" s="2"/>
      <c r="C144" s="2" t="s">
        <v>16</v>
      </c>
      <c r="D144" s="2">
        <v>0</v>
      </c>
      <c r="E144" s="2">
        <v>1</v>
      </c>
      <c r="F144" s="2" t="s">
        <v>76</v>
      </c>
      <c r="G144" s="2" t="s">
        <v>146</v>
      </c>
      <c r="H144" s="2" t="s">
        <v>13</v>
      </c>
      <c r="I144" s="2"/>
    </row>
    <row r="145" spans="1:9">
      <c r="A145" s="3" t="s">
        <v>171</v>
      </c>
      <c r="B145" s="3"/>
      <c r="C145" s="3" t="s">
        <v>23</v>
      </c>
      <c r="D145" s="3">
        <v>0</v>
      </c>
      <c r="E145" s="3">
        <v>1</v>
      </c>
      <c r="F145" s="3" t="s">
        <v>76</v>
      </c>
      <c r="G145" s="3" t="s">
        <v>146</v>
      </c>
      <c r="H145" s="3" t="s">
        <v>13</v>
      </c>
      <c r="I145" s="3"/>
    </row>
    <row r="146" spans="1:9">
      <c r="A146" s="2" t="s">
        <v>172</v>
      </c>
      <c r="B146" s="2">
        <v>20000000</v>
      </c>
      <c r="C146" s="2" t="s">
        <v>23</v>
      </c>
      <c r="D146" s="2">
        <v>17.5</v>
      </c>
      <c r="E146" s="2">
        <v>18.5</v>
      </c>
      <c r="F146" s="2"/>
      <c r="G146" s="2" t="s">
        <v>173</v>
      </c>
      <c r="H146" s="2" t="s">
        <v>13</v>
      </c>
      <c r="I146" s="2">
        <v>2</v>
      </c>
    </row>
    <row r="147" spans="1:9">
      <c r="A147" s="3" t="s">
        <v>174</v>
      </c>
      <c r="B147" s="3">
        <v>1500000</v>
      </c>
      <c r="C147" s="3" t="s">
        <v>10</v>
      </c>
      <c r="D147" s="3">
        <v>1.5</v>
      </c>
      <c r="E147" s="3">
        <v>2.5</v>
      </c>
      <c r="F147" s="3"/>
      <c r="G147" s="3" t="s">
        <v>173</v>
      </c>
      <c r="H147" s="3" t="s">
        <v>13</v>
      </c>
      <c r="I147" s="3">
        <v>0.15</v>
      </c>
    </row>
    <row r="148" spans="1:9">
      <c r="A148" s="2" t="s">
        <v>175</v>
      </c>
      <c r="B148" s="2">
        <v>5000000</v>
      </c>
      <c r="C148" s="2" t="s">
        <v>10</v>
      </c>
      <c r="D148" s="2">
        <v>0.5</v>
      </c>
      <c r="E148" s="2">
        <v>1.5</v>
      </c>
      <c r="F148" s="2"/>
      <c r="G148" s="2" t="s">
        <v>173</v>
      </c>
      <c r="H148" s="2" t="s">
        <v>13</v>
      </c>
      <c r="I148" s="2">
        <v>0.5</v>
      </c>
    </row>
    <row r="149" spans="1:9">
      <c r="A149" s="3" t="s">
        <v>176</v>
      </c>
      <c r="B149" s="3">
        <v>2000000</v>
      </c>
      <c r="C149" s="3" t="s">
        <v>10</v>
      </c>
      <c r="D149" s="3">
        <v>0.2</v>
      </c>
      <c r="E149" s="3">
        <v>1.2</v>
      </c>
      <c r="F149" s="3"/>
      <c r="G149" s="3" t="s">
        <v>173</v>
      </c>
      <c r="H149" s="3" t="s">
        <v>13</v>
      </c>
      <c r="I149" s="3">
        <v>0.2</v>
      </c>
    </row>
    <row r="150" spans="1:9">
      <c r="A150" s="2" t="s">
        <v>177</v>
      </c>
      <c r="B150" s="2">
        <v>2000000</v>
      </c>
      <c r="C150" s="2" t="s">
        <v>23</v>
      </c>
      <c r="D150" s="2">
        <v>0.2</v>
      </c>
      <c r="E150" s="2">
        <v>1.2</v>
      </c>
      <c r="F150" s="2"/>
      <c r="G150" s="2" t="s">
        <v>173</v>
      </c>
      <c r="H150" s="2" t="s">
        <v>13</v>
      </c>
      <c r="I150" s="2">
        <v>0.2</v>
      </c>
    </row>
    <row r="151" spans="1:9">
      <c r="A151" s="3" t="s">
        <v>178</v>
      </c>
      <c r="B151" s="3">
        <v>2000000</v>
      </c>
      <c r="C151" s="3" t="s">
        <v>23</v>
      </c>
      <c r="D151" s="3">
        <v>0.2</v>
      </c>
      <c r="E151" s="3">
        <v>1.2</v>
      </c>
      <c r="F151" s="3"/>
      <c r="G151" s="3" t="s">
        <v>173</v>
      </c>
      <c r="H151" s="3" t="s">
        <v>13</v>
      </c>
      <c r="I151" s="3">
        <v>0.2</v>
      </c>
    </row>
    <row r="152" spans="1:9">
      <c r="A152" s="2" t="s">
        <v>179</v>
      </c>
      <c r="B152" s="2">
        <v>2000000</v>
      </c>
      <c r="C152" s="2" t="s">
        <v>19</v>
      </c>
      <c r="D152" s="2">
        <v>0.2</v>
      </c>
      <c r="E152" s="2">
        <v>1.2</v>
      </c>
      <c r="F152" s="2" t="s">
        <v>17</v>
      </c>
      <c r="G152" s="2" t="s">
        <v>173</v>
      </c>
      <c r="H152" s="2" t="s">
        <v>13</v>
      </c>
      <c r="I152" s="2">
        <v>0.2</v>
      </c>
    </row>
    <row r="153" spans="1:9">
      <c r="A153" s="3" t="s">
        <v>180</v>
      </c>
      <c r="B153" s="3">
        <v>2000000</v>
      </c>
      <c r="C153" s="3" t="s">
        <v>23</v>
      </c>
      <c r="D153" s="3">
        <v>0.2</v>
      </c>
      <c r="E153" s="3">
        <v>1.2</v>
      </c>
      <c r="F153" s="3"/>
      <c r="G153" s="3" t="s">
        <v>173</v>
      </c>
      <c r="H153" s="3" t="s">
        <v>13</v>
      </c>
      <c r="I153" s="3">
        <v>0.2</v>
      </c>
    </row>
    <row r="154" spans="1:9">
      <c r="A154" s="2" t="s">
        <v>181</v>
      </c>
      <c r="B154" s="2"/>
      <c r="C154" s="2" t="s">
        <v>23</v>
      </c>
      <c r="D154" s="2">
        <v>0</v>
      </c>
      <c r="E154" s="2">
        <v>1</v>
      </c>
      <c r="F154" s="2" t="s">
        <v>148</v>
      </c>
      <c r="G154" s="2" t="s">
        <v>173</v>
      </c>
      <c r="H154" s="2" t="s">
        <v>13</v>
      </c>
      <c r="I154" s="2"/>
    </row>
    <row r="155" spans="1:9">
      <c r="A155" s="3" t="s">
        <v>182</v>
      </c>
      <c r="B155" s="3"/>
      <c r="C155" s="3" t="s">
        <v>23</v>
      </c>
      <c r="D155" s="3">
        <v>0</v>
      </c>
      <c r="E155" s="3">
        <v>1</v>
      </c>
      <c r="F155" s="3" t="s">
        <v>148</v>
      </c>
      <c r="G155" s="3" t="s">
        <v>173</v>
      </c>
      <c r="H155" s="3" t="s">
        <v>13</v>
      </c>
      <c r="I155" s="3"/>
    </row>
    <row r="156" spans="1:9">
      <c r="A156" s="2" t="s">
        <v>183</v>
      </c>
      <c r="B156" s="2"/>
      <c r="C156" s="2" t="s">
        <v>23</v>
      </c>
      <c r="D156" s="2">
        <v>0</v>
      </c>
      <c r="E156" s="2">
        <v>1</v>
      </c>
      <c r="F156" s="2" t="s">
        <v>148</v>
      </c>
      <c r="G156" s="2" t="s">
        <v>173</v>
      </c>
      <c r="H156" s="2" t="s">
        <v>13</v>
      </c>
      <c r="I156" s="2"/>
    </row>
    <row r="157" spans="1:9">
      <c r="A157" s="3" t="s">
        <v>184</v>
      </c>
      <c r="B157" s="3"/>
      <c r="C157" s="3" t="s">
        <v>16</v>
      </c>
      <c r="D157" s="3">
        <v>0</v>
      </c>
      <c r="E157" s="3">
        <v>1</v>
      </c>
      <c r="F157" s="3" t="s">
        <v>148</v>
      </c>
      <c r="G157" s="3" t="s">
        <v>173</v>
      </c>
      <c r="H157" s="3" t="s">
        <v>13</v>
      </c>
      <c r="I157" s="3"/>
    </row>
    <row r="158" spans="1:9">
      <c r="A158" s="2" t="s">
        <v>185</v>
      </c>
      <c r="B158" s="2"/>
      <c r="C158" s="2" t="s">
        <v>16</v>
      </c>
      <c r="D158" s="2">
        <v>0</v>
      </c>
      <c r="E158" s="2">
        <v>1</v>
      </c>
      <c r="F158" s="2" t="s">
        <v>148</v>
      </c>
      <c r="G158" s="2" t="s">
        <v>173</v>
      </c>
      <c r="H158" s="2" t="s">
        <v>13</v>
      </c>
      <c r="I158" s="2"/>
    </row>
    <row r="159" spans="1:9">
      <c r="A159" s="3" t="s">
        <v>186</v>
      </c>
      <c r="B159" s="3"/>
      <c r="C159" s="3" t="s">
        <v>23</v>
      </c>
      <c r="D159" s="3">
        <v>0</v>
      </c>
      <c r="E159" s="3">
        <v>1</v>
      </c>
      <c r="F159" s="3" t="s">
        <v>148</v>
      </c>
      <c r="G159" s="3" t="s">
        <v>173</v>
      </c>
      <c r="H159" s="3" t="s">
        <v>13</v>
      </c>
      <c r="I159" s="3"/>
    </row>
    <row r="160" spans="1:9">
      <c r="A160" s="2" t="s">
        <v>187</v>
      </c>
      <c r="B160" s="2"/>
      <c r="C160" s="2" t="s">
        <v>19</v>
      </c>
      <c r="D160" s="2">
        <v>0</v>
      </c>
      <c r="E160" s="2">
        <v>1</v>
      </c>
      <c r="F160" s="2" t="s">
        <v>148</v>
      </c>
      <c r="G160" s="2" t="s">
        <v>173</v>
      </c>
      <c r="H160" s="2" t="s">
        <v>13</v>
      </c>
      <c r="I160" s="2"/>
    </row>
    <row r="161" spans="1:9">
      <c r="A161" s="3" t="s">
        <v>188</v>
      </c>
      <c r="B161" s="3"/>
      <c r="C161" s="3" t="s">
        <v>23</v>
      </c>
      <c r="D161" s="3">
        <v>0</v>
      </c>
      <c r="E161" s="3">
        <v>1</v>
      </c>
      <c r="F161" s="3" t="s">
        <v>148</v>
      </c>
      <c r="G161" s="3" t="s">
        <v>173</v>
      </c>
      <c r="H161" s="3" t="s">
        <v>13</v>
      </c>
      <c r="I161" s="3"/>
    </row>
    <row r="162" spans="1:9">
      <c r="A162" s="2" t="s">
        <v>189</v>
      </c>
      <c r="B162" s="2"/>
      <c r="C162" s="2" t="s">
        <v>23</v>
      </c>
      <c r="D162" s="2">
        <v>0</v>
      </c>
      <c r="E162" s="2">
        <v>1</v>
      </c>
      <c r="F162" s="2" t="s">
        <v>148</v>
      </c>
      <c r="G162" s="2" t="s">
        <v>173</v>
      </c>
      <c r="H162" s="2" t="s">
        <v>13</v>
      </c>
      <c r="I162" s="2"/>
    </row>
    <row r="163" spans="1:9">
      <c r="A163" s="3" t="s">
        <v>190</v>
      </c>
      <c r="B163" s="3"/>
      <c r="C163" s="3" t="s">
        <v>23</v>
      </c>
      <c r="D163" s="3">
        <v>0</v>
      </c>
      <c r="E163" s="3">
        <v>1</v>
      </c>
      <c r="F163" s="3" t="s">
        <v>148</v>
      </c>
      <c r="G163" s="3" t="s">
        <v>173</v>
      </c>
      <c r="H163" s="3" t="s">
        <v>13</v>
      </c>
      <c r="I163" s="3"/>
    </row>
    <row r="164" spans="1:9">
      <c r="A164" s="2" t="s">
        <v>191</v>
      </c>
      <c r="B164" s="2"/>
      <c r="C164" s="2" t="s">
        <v>10</v>
      </c>
      <c r="D164" s="2">
        <v>0</v>
      </c>
      <c r="E164" s="2">
        <v>1</v>
      </c>
      <c r="F164" s="2" t="s">
        <v>148</v>
      </c>
      <c r="G164" s="2" t="s">
        <v>173</v>
      </c>
      <c r="H164" s="2" t="s">
        <v>13</v>
      </c>
      <c r="I164" s="2"/>
    </row>
    <row r="165" spans="1:9">
      <c r="A165" s="3" t="s">
        <v>192</v>
      </c>
      <c r="B165" s="3"/>
      <c r="C165" s="3" t="s">
        <v>16</v>
      </c>
      <c r="D165" s="3">
        <v>0</v>
      </c>
      <c r="E165" s="3">
        <v>1</v>
      </c>
      <c r="F165" s="3" t="s">
        <v>148</v>
      </c>
      <c r="G165" s="3" t="s">
        <v>173</v>
      </c>
      <c r="H165" s="3" t="s">
        <v>13</v>
      </c>
      <c r="I165" s="3"/>
    </row>
    <row r="166" spans="1:9">
      <c r="A166" s="2" t="s">
        <v>193</v>
      </c>
      <c r="B166" s="2"/>
      <c r="C166" s="2" t="s">
        <v>19</v>
      </c>
      <c r="D166" s="2">
        <v>0</v>
      </c>
      <c r="E166" s="2">
        <v>1</v>
      </c>
      <c r="F166" s="2" t="s">
        <v>148</v>
      </c>
      <c r="G166" s="2" t="s">
        <v>173</v>
      </c>
      <c r="H166" s="2" t="s">
        <v>13</v>
      </c>
      <c r="I166" s="2"/>
    </row>
    <row r="167" spans="1:9">
      <c r="A167" s="3" t="s">
        <v>194</v>
      </c>
      <c r="B167" s="3"/>
      <c r="C167" s="3" t="s">
        <v>10</v>
      </c>
      <c r="D167" s="3">
        <v>0</v>
      </c>
      <c r="E167" s="3">
        <v>1</v>
      </c>
      <c r="F167" s="3" t="s">
        <v>148</v>
      </c>
      <c r="G167" s="3" t="s">
        <v>173</v>
      </c>
      <c r="H167" s="3" t="s">
        <v>13</v>
      </c>
      <c r="I167" s="3"/>
    </row>
    <row r="168" spans="1:9">
      <c r="A168" s="2" t="s">
        <v>195</v>
      </c>
      <c r="B168" s="2"/>
      <c r="C168" s="2" t="s">
        <v>10</v>
      </c>
      <c r="D168" s="2">
        <v>0</v>
      </c>
      <c r="E168" s="2">
        <v>1</v>
      </c>
      <c r="F168" s="2" t="s">
        <v>148</v>
      </c>
      <c r="G168" s="2" t="s">
        <v>173</v>
      </c>
      <c r="H168" s="2" t="s">
        <v>13</v>
      </c>
      <c r="I168" s="2"/>
    </row>
    <row r="169" spans="1:9">
      <c r="A169" s="3" t="s">
        <v>196</v>
      </c>
      <c r="B169" s="3"/>
      <c r="C169" s="3" t="s">
        <v>23</v>
      </c>
      <c r="D169" s="3">
        <v>0</v>
      </c>
      <c r="E169" s="3">
        <v>1</v>
      </c>
      <c r="F169" s="3" t="s">
        <v>148</v>
      </c>
      <c r="G169" s="3" t="s">
        <v>173</v>
      </c>
      <c r="H169" s="3" t="s">
        <v>13</v>
      </c>
      <c r="I169" s="3"/>
    </row>
    <row r="170" spans="1:9">
      <c r="A170" s="2" t="s">
        <v>197</v>
      </c>
      <c r="B170" s="2">
        <v>1500000</v>
      </c>
      <c r="C170" s="2" t="s">
        <v>16</v>
      </c>
      <c r="D170" s="2">
        <v>3.2</v>
      </c>
      <c r="E170" s="2">
        <v>4.2</v>
      </c>
      <c r="F170" s="2"/>
      <c r="G170" s="2" t="s">
        <v>198</v>
      </c>
      <c r="H170" s="2" t="s">
        <v>13</v>
      </c>
      <c r="I170" s="2">
        <v>0.15</v>
      </c>
    </row>
    <row r="171" spans="1:9">
      <c r="A171" s="3" t="s">
        <v>199</v>
      </c>
      <c r="B171" s="3">
        <v>7500000</v>
      </c>
      <c r="C171" s="3" t="s">
        <v>10</v>
      </c>
      <c r="D171" s="3">
        <v>1.9</v>
      </c>
      <c r="E171" s="3">
        <v>2.9</v>
      </c>
      <c r="F171" s="3"/>
      <c r="G171" s="3" t="s">
        <v>198</v>
      </c>
      <c r="H171" s="3" t="s">
        <v>13</v>
      </c>
      <c r="I171" s="3">
        <v>0.75</v>
      </c>
    </row>
    <row r="172" spans="1:9">
      <c r="A172" s="2" t="s">
        <v>200</v>
      </c>
      <c r="B172" s="2">
        <v>2000000</v>
      </c>
      <c r="C172" s="2" t="s">
        <v>10</v>
      </c>
      <c r="D172" s="2">
        <v>0.7</v>
      </c>
      <c r="E172" s="2">
        <v>1.7</v>
      </c>
      <c r="F172" s="2"/>
      <c r="G172" s="2" t="s">
        <v>198</v>
      </c>
      <c r="H172" s="2" t="s">
        <v>13</v>
      </c>
      <c r="I172" s="2">
        <v>0.2</v>
      </c>
    </row>
    <row r="173" spans="1:9">
      <c r="A173" s="3" t="s">
        <v>201</v>
      </c>
      <c r="B173" s="3">
        <v>2000000</v>
      </c>
      <c r="C173" s="3" t="s">
        <v>10</v>
      </c>
      <c r="D173" s="3">
        <v>0.6</v>
      </c>
      <c r="E173" s="3">
        <v>1.6</v>
      </c>
      <c r="F173" s="3"/>
      <c r="G173" s="3" t="s">
        <v>198</v>
      </c>
      <c r="H173" s="3" t="s">
        <v>13</v>
      </c>
      <c r="I173" s="3">
        <v>0.2</v>
      </c>
    </row>
    <row r="174" spans="1:9">
      <c r="A174" s="2" t="s">
        <v>202</v>
      </c>
      <c r="B174" s="2">
        <v>2000000</v>
      </c>
      <c r="C174" s="2" t="s">
        <v>23</v>
      </c>
      <c r="D174" s="2">
        <v>0.2</v>
      </c>
      <c r="E174" s="2">
        <v>1.2</v>
      </c>
      <c r="F174" s="2"/>
      <c r="G174" s="2" t="s">
        <v>198</v>
      </c>
      <c r="H174" s="2" t="s">
        <v>13</v>
      </c>
      <c r="I174" s="2">
        <v>0.2</v>
      </c>
    </row>
    <row r="175" spans="1:9">
      <c r="A175" s="3" t="s">
        <v>203</v>
      </c>
      <c r="B175" s="3">
        <v>2000000</v>
      </c>
      <c r="C175" s="3" t="s">
        <v>23</v>
      </c>
      <c r="D175" s="3">
        <v>0.2</v>
      </c>
      <c r="E175" s="3">
        <v>1.2</v>
      </c>
      <c r="F175" s="3"/>
      <c r="G175" s="3" t="s">
        <v>198</v>
      </c>
      <c r="H175" s="3" t="s">
        <v>13</v>
      </c>
      <c r="I175" s="3">
        <v>0.2</v>
      </c>
    </row>
    <row r="176" spans="1:9">
      <c r="A176" s="2" t="s">
        <v>204</v>
      </c>
      <c r="B176" s="2">
        <v>2000000</v>
      </c>
      <c r="C176" s="2" t="s">
        <v>10</v>
      </c>
      <c r="D176" s="2">
        <v>0.2</v>
      </c>
      <c r="E176" s="2">
        <v>1.2</v>
      </c>
      <c r="F176" s="2"/>
      <c r="G176" s="2" t="s">
        <v>198</v>
      </c>
      <c r="H176" s="2" t="s">
        <v>13</v>
      </c>
      <c r="I176" s="2">
        <v>0.2</v>
      </c>
    </row>
    <row r="177" spans="1:9">
      <c r="A177" s="3" t="s">
        <v>205</v>
      </c>
      <c r="B177" s="3"/>
      <c r="C177" s="3" t="s">
        <v>16</v>
      </c>
      <c r="D177" s="3">
        <v>0</v>
      </c>
      <c r="E177" s="3">
        <v>1</v>
      </c>
      <c r="F177" s="3" t="s">
        <v>206</v>
      </c>
      <c r="G177" s="3" t="s">
        <v>198</v>
      </c>
      <c r="H177" s="3" t="s">
        <v>13</v>
      </c>
      <c r="I177" s="3"/>
    </row>
    <row r="178" spans="1:9">
      <c r="A178" s="2" t="s">
        <v>207</v>
      </c>
      <c r="B178" s="2"/>
      <c r="C178" s="2" t="s">
        <v>10</v>
      </c>
      <c r="D178" s="2">
        <v>0</v>
      </c>
      <c r="E178" s="2">
        <v>1</v>
      </c>
      <c r="F178" s="2" t="s">
        <v>206</v>
      </c>
      <c r="G178" s="2" t="s">
        <v>198</v>
      </c>
      <c r="H178" s="2" t="s">
        <v>13</v>
      </c>
      <c r="I178" s="2"/>
    </row>
    <row r="179" spans="1:9">
      <c r="A179" s="3" t="s">
        <v>208</v>
      </c>
      <c r="B179" s="3"/>
      <c r="C179" s="3" t="s">
        <v>23</v>
      </c>
      <c r="D179" s="3">
        <v>0</v>
      </c>
      <c r="E179" s="3">
        <v>1</v>
      </c>
      <c r="F179" s="3" t="s">
        <v>206</v>
      </c>
      <c r="G179" s="3" t="s">
        <v>198</v>
      </c>
      <c r="H179" s="3" t="s">
        <v>13</v>
      </c>
      <c r="I179" s="3"/>
    </row>
    <row r="180" spans="1:9">
      <c r="A180" s="2" t="s">
        <v>209</v>
      </c>
      <c r="B180" s="2"/>
      <c r="C180" s="2" t="s">
        <v>10</v>
      </c>
      <c r="D180" s="2">
        <v>0</v>
      </c>
      <c r="E180" s="2">
        <v>1</v>
      </c>
      <c r="F180" s="2" t="s">
        <v>206</v>
      </c>
      <c r="G180" s="2" t="s">
        <v>198</v>
      </c>
      <c r="H180" s="2" t="s">
        <v>13</v>
      </c>
      <c r="I180" s="2"/>
    </row>
    <row r="181" spans="1:9">
      <c r="A181" s="3" t="s">
        <v>210</v>
      </c>
      <c r="B181" s="3"/>
      <c r="C181" s="3" t="s">
        <v>23</v>
      </c>
      <c r="D181" s="3">
        <v>0</v>
      </c>
      <c r="E181" s="3">
        <v>1</v>
      </c>
      <c r="F181" s="3" t="s">
        <v>206</v>
      </c>
      <c r="G181" s="3" t="s">
        <v>198</v>
      </c>
      <c r="H181" s="3" t="s">
        <v>13</v>
      </c>
      <c r="I181" s="3"/>
    </row>
    <row r="182" spans="1:9">
      <c r="A182" s="2" t="s">
        <v>211</v>
      </c>
      <c r="B182" s="2"/>
      <c r="C182" s="2" t="s">
        <v>10</v>
      </c>
      <c r="D182" s="2">
        <v>0</v>
      </c>
      <c r="E182" s="2">
        <v>1</v>
      </c>
      <c r="F182" s="2" t="s">
        <v>206</v>
      </c>
      <c r="G182" s="2" t="s">
        <v>198</v>
      </c>
      <c r="H182" s="2" t="s">
        <v>13</v>
      </c>
      <c r="I182" s="2"/>
    </row>
    <row r="183" spans="1:9">
      <c r="A183" s="3" t="s">
        <v>212</v>
      </c>
      <c r="B183" s="3"/>
      <c r="C183" s="3" t="s">
        <v>16</v>
      </c>
      <c r="D183" s="3">
        <v>0</v>
      </c>
      <c r="E183" s="3">
        <v>1</v>
      </c>
      <c r="F183" s="3" t="s">
        <v>206</v>
      </c>
      <c r="G183" s="3" t="s">
        <v>198</v>
      </c>
      <c r="H183" s="3" t="s">
        <v>13</v>
      </c>
      <c r="I183" s="3"/>
    </row>
    <row r="184" spans="1:9">
      <c r="A184" s="2" t="s">
        <v>213</v>
      </c>
      <c r="B184" s="2"/>
      <c r="C184" s="2" t="s">
        <v>23</v>
      </c>
      <c r="D184" s="2">
        <v>0</v>
      </c>
      <c r="E184" s="2">
        <v>1</v>
      </c>
      <c r="F184" s="2" t="s">
        <v>206</v>
      </c>
      <c r="G184" s="2" t="s">
        <v>198</v>
      </c>
      <c r="H184" s="2" t="s">
        <v>13</v>
      </c>
      <c r="I184" s="2"/>
    </row>
    <row r="185" spans="1:9">
      <c r="A185" s="3" t="s">
        <v>214</v>
      </c>
      <c r="B185" s="3"/>
      <c r="C185" s="3" t="s">
        <v>10</v>
      </c>
      <c r="D185" s="3">
        <v>0</v>
      </c>
      <c r="E185" s="3">
        <v>1</v>
      </c>
      <c r="F185" s="3" t="s">
        <v>206</v>
      </c>
      <c r="G185" s="3" t="s">
        <v>198</v>
      </c>
      <c r="H185" s="3" t="s">
        <v>13</v>
      </c>
      <c r="I185" s="3"/>
    </row>
    <row r="186" spans="1:9">
      <c r="A186" s="2" t="s">
        <v>215</v>
      </c>
      <c r="B186" s="2"/>
      <c r="C186" s="2" t="s">
        <v>16</v>
      </c>
      <c r="D186" s="2">
        <v>0</v>
      </c>
      <c r="E186" s="2">
        <v>1</v>
      </c>
      <c r="F186" s="2" t="s">
        <v>206</v>
      </c>
      <c r="G186" s="2" t="s">
        <v>198</v>
      </c>
      <c r="H186" s="2" t="s">
        <v>13</v>
      </c>
      <c r="I186" s="2"/>
    </row>
    <row r="187" spans="1:9">
      <c r="A187" s="3" t="s">
        <v>216</v>
      </c>
      <c r="B187" s="3"/>
      <c r="C187" s="3" t="s">
        <v>23</v>
      </c>
      <c r="D187" s="3">
        <v>0</v>
      </c>
      <c r="E187" s="3">
        <v>1</v>
      </c>
      <c r="F187" s="3" t="s">
        <v>206</v>
      </c>
      <c r="G187" s="3" t="s">
        <v>198</v>
      </c>
      <c r="H187" s="3" t="s">
        <v>13</v>
      </c>
      <c r="I187" s="3"/>
    </row>
    <row r="188" spans="1:9">
      <c r="A188" s="2" t="s">
        <v>217</v>
      </c>
      <c r="B188" s="2"/>
      <c r="C188" s="2" t="s">
        <v>19</v>
      </c>
      <c r="D188" s="2">
        <v>0</v>
      </c>
      <c r="E188" s="2">
        <v>1</v>
      </c>
      <c r="F188" s="2" t="s">
        <v>206</v>
      </c>
      <c r="G188" s="2" t="s">
        <v>198</v>
      </c>
      <c r="H188" s="2" t="s">
        <v>13</v>
      </c>
      <c r="I188" s="2"/>
    </row>
    <row r="189" spans="1:9">
      <c r="A189" s="3" t="s">
        <v>218</v>
      </c>
      <c r="B189" s="3"/>
      <c r="C189" s="3" t="s">
        <v>10</v>
      </c>
      <c r="D189" s="3">
        <v>0</v>
      </c>
      <c r="E189" s="3">
        <v>1</v>
      </c>
      <c r="F189" s="3" t="s">
        <v>206</v>
      </c>
      <c r="G189" s="3" t="s">
        <v>198</v>
      </c>
      <c r="H189" s="3" t="s">
        <v>13</v>
      </c>
      <c r="I189" s="3"/>
    </row>
    <row r="190" spans="1:9">
      <c r="A190" s="2" t="s">
        <v>219</v>
      </c>
      <c r="B190" s="2"/>
      <c r="C190" s="2" t="s">
        <v>19</v>
      </c>
      <c r="D190" s="2">
        <v>0</v>
      </c>
      <c r="E190" s="2">
        <v>1</v>
      </c>
      <c r="F190" s="2" t="s">
        <v>206</v>
      </c>
      <c r="G190" s="2" t="s">
        <v>198</v>
      </c>
      <c r="H190" s="2" t="s">
        <v>13</v>
      </c>
      <c r="I190" s="2"/>
    </row>
    <row r="191" spans="1:9">
      <c r="A191" s="3" t="s">
        <v>220</v>
      </c>
      <c r="B191" s="3"/>
      <c r="C191" s="3" t="s">
        <v>16</v>
      </c>
      <c r="D191" s="3">
        <v>0</v>
      </c>
      <c r="E191" s="3">
        <v>1</v>
      </c>
      <c r="F191" s="3" t="s">
        <v>206</v>
      </c>
      <c r="G191" s="3" t="s">
        <v>198</v>
      </c>
      <c r="H191" s="3" t="s">
        <v>13</v>
      </c>
      <c r="I191" s="3"/>
    </row>
    <row r="192" spans="1:9">
      <c r="A192" s="2" t="s">
        <v>221</v>
      </c>
      <c r="B192" s="2"/>
      <c r="C192" s="2" t="s">
        <v>23</v>
      </c>
      <c r="D192" s="2">
        <v>0</v>
      </c>
      <c r="E192" s="2">
        <v>1</v>
      </c>
      <c r="F192" s="2" t="s">
        <v>206</v>
      </c>
      <c r="G192" s="2" t="s">
        <v>198</v>
      </c>
      <c r="H192" s="2" t="s">
        <v>13</v>
      </c>
      <c r="I192" s="2"/>
    </row>
    <row r="193" spans="1:9">
      <c r="A193" s="3" t="s">
        <v>222</v>
      </c>
      <c r="B193" s="3"/>
      <c r="C193" s="3" t="s">
        <v>23</v>
      </c>
      <c r="D193" s="3">
        <v>0</v>
      </c>
      <c r="E193" s="3">
        <v>1</v>
      </c>
      <c r="F193" s="3" t="s">
        <v>206</v>
      </c>
      <c r="G193" s="3" t="s">
        <v>198</v>
      </c>
      <c r="H193" s="3" t="s">
        <v>13</v>
      </c>
      <c r="I193" s="3"/>
    </row>
    <row r="194" spans="1:9">
      <c r="A194" s="2" t="s">
        <v>223</v>
      </c>
      <c r="B194" s="2"/>
      <c r="C194" s="2" t="s">
        <v>10</v>
      </c>
      <c r="D194" s="2">
        <v>0</v>
      </c>
      <c r="E194" s="2">
        <v>1</v>
      </c>
      <c r="F194" s="2" t="s">
        <v>206</v>
      </c>
      <c r="G194" s="2" t="s">
        <v>198</v>
      </c>
      <c r="H194" s="2" t="s">
        <v>13</v>
      </c>
      <c r="I194" s="2"/>
    </row>
    <row r="195" spans="1:9">
      <c r="A195" s="3" t="s">
        <v>224</v>
      </c>
      <c r="B195" s="3">
        <v>20000000</v>
      </c>
      <c r="C195" s="3" t="s">
        <v>23</v>
      </c>
      <c r="D195" s="3">
        <v>5.75</v>
      </c>
      <c r="E195" s="3">
        <v>6.75</v>
      </c>
      <c r="F195" s="3" t="s">
        <v>76</v>
      </c>
      <c r="G195" s="3" t="s">
        <v>225</v>
      </c>
      <c r="H195" s="3" t="s">
        <v>13</v>
      </c>
      <c r="I195" s="3">
        <v>2</v>
      </c>
    </row>
    <row r="196" spans="1:9">
      <c r="A196" s="2" t="s">
        <v>226</v>
      </c>
      <c r="B196" s="2">
        <v>1500000</v>
      </c>
      <c r="C196" s="2" t="s">
        <v>10</v>
      </c>
      <c r="D196" s="2">
        <v>1.5</v>
      </c>
      <c r="E196" s="2">
        <v>2.5</v>
      </c>
      <c r="F196" s="2"/>
      <c r="G196" s="2" t="s">
        <v>225</v>
      </c>
      <c r="H196" s="2" t="s">
        <v>13</v>
      </c>
      <c r="I196" s="2">
        <v>0.15</v>
      </c>
    </row>
    <row r="197" spans="1:9">
      <c r="A197" s="3" t="s">
        <v>227</v>
      </c>
      <c r="B197" s="3">
        <v>10000000</v>
      </c>
      <c r="C197" s="3" t="s">
        <v>16</v>
      </c>
      <c r="D197" s="3">
        <v>1</v>
      </c>
      <c r="E197" s="3">
        <v>2</v>
      </c>
      <c r="F197" s="3"/>
      <c r="G197" s="3" t="s">
        <v>225</v>
      </c>
      <c r="H197" s="3" t="s">
        <v>13</v>
      </c>
      <c r="I197" s="3">
        <v>1</v>
      </c>
    </row>
    <row r="198" spans="1:9">
      <c r="A198" s="2" t="s">
        <v>228</v>
      </c>
      <c r="B198" s="2">
        <v>2000000</v>
      </c>
      <c r="C198" s="2" t="s">
        <v>19</v>
      </c>
      <c r="D198" s="2">
        <v>0.5</v>
      </c>
      <c r="E198" s="2">
        <v>1.5</v>
      </c>
      <c r="F198" s="2"/>
      <c r="G198" s="2" t="s">
        <v>225</v>
      </c>
      <c r="H198" s="2" t="s">
        <v>13</v>
      </c>
      <c r="I198" s="2">
        <v>0.2</v>
      </c>
    </row>
    <row r="199" spans="1:9">
      <c r="A199" s="3" t="s">
        <v>229</v>
      </c>
      <c r="B199" s="3">
        <v>3000000</v>
      </c>
      <c r="C199" s="3" t="s">
        <v>10</v>
      </c>
      <c r="D199" s="3">
        <v>0.3</v>
      </c>
      <c r="E199" s="3">
        <v>1.3</v>
      </c>
      <c r="F199" s="3" t="s">
        <v>51</v>
      </c>
      <c r="G199" s="3" t="s">
        <v>225</v>
      </c>
      <c r="H199" s="3" t="s">
        <v>13</v>
      </c>
      <c r="I199" s="3">
        <v>0.3</v>
      </c>
    </row>
    <row r="200" spans="1:9">
      <c r="A200" s="2" t="s">
        <v>230</v>
      </c>
      <c r="B200" s="2">
        <v>2000000</v>
      </c>
      <c r="C200" s="2" t="s">
        <v>19</v>
      </c>
      <c r="D200" s="2">
        <v>0.2</v>
      </c>
      <c r="E200" s="2">
        <v>1.2</v>
      </c>
      <c r="F200" s="2"/>
      <c r="G200" s="2" t="s">
        <v>225</v>
      </c>
      <c r="H200" s="2" t="s">
        <v>13</v>
      </c>
      <c r="I200" s="2">
        <v>0.2</v>
      </c>
    </row>
    <row r="201" spans="1:9">
      <c r="A201" s="3" t="s">
        <v>231</v>
      </c>
      <c r="B201" s="3">
        <v>2000000</v>
      </c>
      <c r="C201" s="3" t="s">
        <v>23</v>
      </c>
      <c r="D201" s="3">
        <v>0.2</v>
      </c>
      <c r="E201" s="3">
        <v>1.2</v>
      </c>
      <c r="F201" s="3"/>
      <c r="G201" s="3" t="s">
        <v>225</v>
      </c>
      <c r="H201" s="3" t="s">
        <v>13</v>
      </c>
      <c r="I201" s="3">
        <v>0.2</v>
      </c>
    </row>
    <row r="202" spans="1:9">
      <c r="A202" s="2" t="s">
        <v>232</v>
      </c>
      <c r="B202" s="2">
        <v>2000000</v>
      </c>
      <c r="C202" s="2" t="s">
        <v>23</v>
      </c>
      <c r="D202" s="2">
        <v>0.2</v>
      </c>
      <c r="E202" s="2">
        <v>1.2</v>
      </c>
      <c r="F202" s="2"/>
      <c r="G202" s="2" t="s">
        <v>225</v>
      </c>
      <c r="H202" s="2" t="s">
        <v>13</v>
      </c>
      <c r="I202" s="2">
        <v>0.2</v>
      </c>
    </row>
    <row r="203" spans="1:9">
      <c r="A203" s="3" t="s">
        <v>233</v>
      </c>
      <c r="B203" s="3">
        <v>2000000</v>
      </c>
      <c r="C203" s="3" t="s">
        <v>10</v>
      </c>
      <c r="D203" s="3">
        <v>0.2</v>
      </c>
      <c r="E203" s="3">
        <v>1.2</v>
      </c>
      <c r="F203" s="3" t="s">
        <v>148</v>
      </c>
      <c r="G203" s="3" t="s">
        <v>225</v>
      </c>
      <c r="H203" s="3" t="s">
        <v>13</v>
      </c>
      <c r="I203" s="3">
        <v>0.2</v>
      </c>
    </row>
    <row r="204" spans="1:9">
      <c r="A204" s="2" t="s">
        <v>234</v>
      </c>
      <c r="B204" s="2"/>
      <c r="C204" s="2" t="s">
        <v>19</v>
      </c>
      <c r="D204" s="2">
        <v>0</v>
      </c>
      <c r="E204" s="2">
        <v>1</v>
      </c>
      <c r="F204" s="2" t="s">
        <v>235</v>
      </c>
      <c r="G204" s="2" t="s">
        <v>225</v>
      </c>
      <c r="H204" s="2" t="s">
        <v>13</v>
      </c>
      <c r="I204" s="2"/>
    </row>
    <row r="205" spans="1:9">
      <c r="A205" s="3" t="s">
        <v>236</v>
      </c>
      <c r="B205" s="3"/>
      <c r="C205" s="3" t="s">
        <v>23</v>
      </c>
      <c r="D205" s="3">
        <v>0</v>
      </c>
      <c r="E205" s="3">
        <v>1</v>
      </c>
      <c r="F205" s="3" t="s">
        <v>235</v>
      </c>
      <c r="G205" s="3" t="s">
        <v>225</v>
      </c>
      <c r="H205" s="3" t="s">
        <v>13</v>
      </c>
      <c r="I205" s="3"/>
    </row>
    <row r="206" spans="1:9">
      <c r="A206" s="2" t="s">
        <v>237</v>
      </c>
      <c r="B206" s="2"/>
      <c r="C206" s="2" t="s">
        <v>23</v>
      </c>
      <c r="D206" s="2">
        <v>0</v>
      </c>
      <c r="E206" s="2">
        <v>1</v>
      </c>
      <c r="F206" s="2" t="s">
        <v>235</v>
      </c>
      <c r="G206" s="2" t="s">
        <v>225</v>
      </c>
      <c r="H206" s="2" t="s">
        <v>13</v>
      </c>
      <c r="I206" s="2"/>
    </row>
    <row r="207" spans="1:9">
      <c r="A207" s="3" t="s">
        <v>238</v>
      </c>
      <c r="B207" s="3"/>
      <c r="C207" s="3" t="s">
        <v>16</v>
      </c>
      <c r="D207" s="3">
        <v>0</v>
      </c>
      <c r="E207" s="3">
        <v>1</v>
      </c>
      <c r="F207" s="3" t="s">
        <v>235</v>
      </c>
      <c r="G207" s="3" t="s">
        <v>225</v>
      </c>
      <c r="H207" s="3" t="s">
        <v>13</v>
      </c>
      <c r="I207" s="3"/>
    </row>
    <row r="208" spans="1:9">
      <c r="A208" s="2" t="s">
        <v>239</v>
      </c>
      <c r="B208" s="2"/>
      <c r="C208" s="2" t="s">
        <v>10</v>
      </c>
      <c r="D208" s="2">
        <v>0</v>
      </c>
      <c r="E208" s="2">
        <v>1</v>
      </c>
      <c r="F208" s="2" t="s">
        <v>235</v>
      </c>
      <c r="G208" s="2" t="s">
        <v>225</v>
      </c>
      <c r="H208" s="2" t="s">
        <v>13</v>
      </c>
      <c r="I208" s="2"/>
    </row>
    <row r="209" spans="1:9">
      <c r="A209" s="3" t="s">
        <v>240</v>
      </c>
      <c r="B209" s="3"/>
      <c r="C209" s="3" t="s">
        <v>10</v>
      </c>
      <c r="D209" s="3">
        <v>0</v>
      </c>
      <c r="E209" s="3">
        <v>1</v>
      </c>
      <c r="F209" s="3" t="s">
        <v>235</v>
      </c>
      <c r="G209" s="3" t="s">
        <v>225</v>
      </c>
      <c r="H209" s="3" t="s">
        <v>13</v>
      </c>
      <c r="I209" s="3"/>
    </row>
    <row r="210" spans="1:9">
      <c r="A210" s="2" t="s">
        <v>241</v>
      </c>
      <c r="B210" s="2"/>
      <c r="C210" s="2" t="s">
        <v>10</v>
      </c>
      <c r="D210" s="2">
        <v>0</v>
      </c>
      <c r="E210" s="2">
        <v>1</v>
      </c>
      <c r="F210" s="2" t="s">
        <v>235</v>
      </c>
      <c r="G210" s="2" t="s">
        <v>225</v>
      </c>
      <c r="H210" s="2" t="s">
        <v>13</v>
      </c>
      <c r="I210" s="2"/>
    </row>
    <row r="211" spans="1:9">
      <c r="A211" s="3" t="s">
        <v>242</v>
      </c>
      <c r="B211" s="3"/>
      <c r="C211" s="3" t="s">
        <v>16</v>
      </c>
      <c r="D211" s="3">
        <v>0</v>
      </c>
      <c r="E211" s="3">
        <v>1</v>
      </c>
      <c r="F211" s="3" t="s">
        <v>235</v>
      </c>
      <c r="G211" s="3" t="s">
        <v>225</v>
      </c>
      <c r="H211" s="3" t="s">
        <v>13</v>
      </c>
      <c r="I211" s="3"/>
    </row>
    <row r="212" spans="1:9">
      <c r="A212" s="2" t="s">
        <v>243</v>
      </c>
      <c r="B212" s="2"/>
      <c r="C212" s="2" t="s">
        <v>10</v>
      </c>
      <c r="D212" s="2">
        <v>0</v>
      </c>
      <c r="E212" s="2">
        <v>1</v>
      </c>
      <c r="F212" s="2" t="s">
        <v>235</v>
      </c>
      <c r="G212" s="2" t="s">
        <v>225</v>
      </c>
      <c r="H212" s="2" t="s">
        <v>13</v>
      </c>
      <c r="I212" s="2"/>
    </row>
    <row r="213" spans="1:9">
      <c r="A213" s="3" t="s">
        <v>244</v>
      </c>
      <c r="B213" s="3"/>
      <c r="C213" s="3" t="s">
        <v>19</v>
      </c>
      <c r="D213" s="3">
        <v>0</v>
      </c>
      <c r="E213" s="3">
        <v>1</v>
      </c>
      <c r="F213" s="3" t="s">
        <v>235</v>
      </c>
      <c r="G213" s="3" t="s">
        <v>225</v>
      </c>
      <c r="H213" s="3" t="s">
        <v>13</v>
      </c>
      <c r="I213" s="3"/>
    </row>
    <row r="214" spans="1:9">
      <c r="A214" s="2" t="s">
        <v>245</v>
      </c>
      <c r="B214" s="2"/>
      <c r="C214" s="2" t="s">
        <v>16</v>
      </c>
      <c r="D214" s="2">
        <v>0</v>
      </c>
      <c r="E214" s="2">
        <v>1</v>
      </c>
      <c r="F214" s="2" t="s">
        <v>235</v>
      </c>
      <c r="G214" s="2" t="s">
        <v>225</v>
      </c>
      <c r="H214" s="2" t="s">
        <v>13</v>
      </c>
      <c r="I214" s="2"/>
    </row>
    <row r="215" spans="1:9">
      <c r="A215" s="3" t="s">
        <v>246</v>
      </c>
      <c r="B215" s="3"/>
      <c r="C215" s="3" t="s">
        <v>19</v>
      </c>
      <c r="D215" s="3">
        <v>0</v>
      </c>
      <c r="E215" s="3">
        <v>1</v>
      </c>
      <c r="F215" s="3" t="s">
        <v>235</v>
      </c>
      <c r="G215" s="3" t="s">
        <v>225</v>
      </c>
      <c r="H215" s="3" t="s">
        <v>13</v>
      </c>
      <c r="I215" s="3"/>
    </row>
    <row r="216" spans="1:9">
      <c r="A216" s="2" t="s">
        <v>247</v>
      </c>
      <c r="B216" s="2"/>
      <c r="C216" s="2" t="s">
        <v>10</v>
      </c>
      <c r="D216" s="2">
        <v>0</v>
      </c>
      <c r="E216" s="2">
        <v>1</v>
      </c>
      <c r="F216" s="2" t="s">
        <v>235</v>
      </c>
      <c r="G216" s="2" t="s">
        <v>225</v>
      </c>
      <c r="H216" s="2" t="s">
        <v>13</v>
      </c>
      <c r="I216" s="2"/>
    </row>
    <row r="217" spans="1:9">
      <c r="A217" s="3" t="s">
        <v>248</v>
      </c>
      <c r="B217" s="3"/>
      <c r="C217" s="3" t="s">
        <v>10</v>
      </c>
      <c r="D217" s="3">
        <v>0</v>
      </c>
      <c r="E217" s="3">
        <v>1</v>
      </c>
      <c r="F217" s="3" t="s">
        <v>235</v>
      </c>
      <c r="G217" s="3" t="s">
        <v>225</v>
      </c>
      <c r="H217" s="3" t="s">
        <v>13</v>
      </c>
      <c r="I217" s="3"/>
    </row>
    <row r="218" spans="1:9">
      <c r="A218" s="2" t="s">
        <v>249</v>
      </c>
      <c r="B218" s="2"/>
      <c r="C218" s="2" t="s">
        <v>10</v>
      </c>
      <c r="D218" s="2">
        <v>0</v>
      </c>
      <c r="E218" s="2">
        <v>1</v>
      </c>
      <c r="F218" s="2" t="s">
        <v>235</v>
      </c>
      <c r="G218" s="2" t="s">
        <v>225</v>
      </c>
      <c r="H218" s="2" t="s">
        <v>13</v>
      </c>
      <c r="I218" s="2"/>
    </row>
    <row r="219" spans="1:9">
      <c r="A219" s="3" t="s">
        <v>250</v>
      </c>
      <c r="B219" s="3"/>
      <c r="C219" s="3" t="s">
        <v>10</v>
      </c>
      <c r="D219" s="3">
        <v>0</v>
      </c>
      <c r="E219" s="3">
        <v>1</v>
      </c>
      <c r="F219" s="3" t="s">
        <v>235</v>
      </c>
      <c r="G219" s="3" t="s">
        <v>225</v>
      </c>
      <c r="H219" s="3" t="s">
        <v>13</v>
      </c>
      <c r="I219" s="3"/>
    </row>
    <row r="220" spans="1:9">
      <c r="A220" s="2" t="s">
        <v>251</v>
      </c>
      <c r="B220" s="2">
        <v>15000000</v>
      </c>
      <c r="C220" s="2" t="s">
        <v>16</v>
      </c>
      <c r="D220" s="2">
        <v>13.25</v>
      </c>
      <c r="E220" s="2">
        <v>14.25</v>
      </c>
      <c r="F220" s="2"/>
      <c r="G220" s="2" t="s">
        <v>252</v>
      </c>
      <c r="H220" s="2" t="s">
        <v>13</v>
      </c>
      <c r="I220" s="2">
        <v>1.5</v>
      </c>
    </row>
    <row r="221" spans="1:9">
      <c r="A221" s="3" t="s">
        <v>253</v>
      </c>
      <c r="B221" s="3">
        <v>10000000</v>
      </c>
      <c r="C221" s="3" t="s">
        <v>16</v>
      </c>
      <c r="D221" s="3">
        <v>8.25</v>
      </c>
      <c r="E221" s="3">
        <v>9.25</v>
      </c>
      <c r="F221" s="3" t="s">
        <v>24</v>
      </c>
      <c r="G221" s="3" t="s">
        <v>252</v>
      </c>
      <c r="H221" s="3" t="s">
        <v>13</v>
      </c>
      <c r="I221" s="3">
        <v>1</v>
      </c>
    </row>
    <row r="222" spans="1:9">
      <c r="A222" s="2" t="s">
        <v>254</v>
      </c>
      <c r="B222" s="2">
        <v>10000000</v>
      </c>
      <c r="C222" s="2" t="s">
        <v>19</v>
      </c>
      <c r="D222" s="2">
        <v>5.25</v>
      </c>
      <c r="E222" s="2">
        <v>6.25</v>
      </c>
      <c r="F222" s="2"/>
      <c r="G222" s="2" t="s">
        <v>252</v>
      </c>
      <c r="H222" s="2" t="s">
        <v>13</v>
      </c>
      <c r="I222" s="2">
        <v>1</v>
      </c>
    </row>
    <row r="223" spans="1:9">
      <c r="A223" s="3" t="s">
        <v>255</v>
      </c>
      <c r="B223" s="3">
        <v>2000000</v>
      </c>
      <c r="C223" s="3" t="s">
        <v>23</v>
      </c>
      <c r="D223" s="3">
        <v>2.6</v>
      </c>
      <c r="E223" s="3">
        <v>3.6</v>
      </c>
      <c r="F223" s="3"/>
      <c r="G223" s="3" t="s">
        <v>252</v>
      </c>
      <c r="H223" s="3" t="s">
        <v>13</v>
      </c>
      <c r="I223" s="3">
        <v>0.2</v>
      </c>
    </row>
    <row r="224" spans="1:9">
      <c r="A224" s="2" t="s">
        <v>256</v>
      </c>
      <c r="B224" s="2">
        <v>20000000</v>
      </c>
      <c r="C224" s="2" t="s">
        <v>10</v>
      </c>
      <c r="D224" s="2">
        <v>2</v>
      </c>
      <c r="E224" s="2">
        <v>3</v>
      </c>
      <c r="F224" s="2"/>
      <c r="G224" s="2" t="s">
        <v>252</v>
      </c>
      <c r="H224" s="2" t="s">
        <v>13</v>
      </c>
      <c r="I224" s="2">
        <v>2</v>
      </c>
    </row>
    <row r="225" spans="1:9">
      <c r="A225" s="3" t="s">
        <v>257</v>
      </c>
      <c r="B225" s="3">
        <v>2000000</v>
      </c>
      <c r="C225" s="3" t="s">
        <v>23</v>
      </c>
      <c r="D225" s="3">
        <v>1.8</v>
      </c>
      <c r="E225" s="3">
        <v>2.8</v>
      </c>
      <c r="F225" s="3"/>
      <c r="G225" s="3" t="s">
        <v>252</v>
      </c>
      <c r="H225" s="3" t="s">
        <v>13</v>
      </c>
      <c r="I225" s="3">
        <v>0.2</v>
      </c>
    </row>
    <row r="226" spans="1:9">
      <c r="A226" s="2" t="s">
        <v>258</v>
      </c>
      <c r="B226" s="2">
        <v>10000000</v>
      </c>
      <c r="C226" s="2" t="s">
        <v>10</v>
      </c>
      <c r="D226" s="2">
        <v>1</v>
      </c>
      <c r="E226" s="2">
        <v>2</v>
      </c>
      <c r="F226" s="2"/>
      <c r="G226" s="2" t="s">
        <v>252</v>
      </c>
      <c r="H226" s="2" t="s">
        <v>13</v>
      </c>
      <c r="I226" s="2">
        <v>1</v>
      </c>
    </row>
    <row r="227" spans="1:9">
      <c r="A227" s="3" t="s">
        <v>259</v>
      </c>
      <c r="B227" s="3">
        <v>5000000</v>
      </c>
      <c r="C227" s="3" t="s">
        <v>10</v>
      </c>
      <c r="D227" s="3">
        <v>0.5</v>
      </c>
      <c r="E227" s="3">
        <v>1.5</v>
      </c>
      <c r="F227" s="3" t="s">
        <v>148</v>
      </c>
      <c r="G227" s="3" t="s">
        <v>252</v>
      </c>
      <c r="H227" s="3" t="s">
        <v>13</v>
      </c>
      <c r="I227" s="3">
        <v>0.5</v>
      </c>
    </row>
    <row r="228" spans="1:9">
      <c r="A228" s="2" t="s">
        <v>260</v>
      </c>
      <c r="B228" s="2">
        <v>2000000</v>
      </c>
      <c r="C228" s="2" t="s">
        <v>19</v>
      </c>
      <c r="D228" s="2">
        <v>0.25</v>
      </c>
      <c r="E228" s="2">
        <v>1.25</v>
      </c>
      <c r="F228" s="2"/>
      <c r="G228" s="2" t="s">
        <v>252</v>
      </c>
      <c r="H228" s="2" t="s">
        <v>13</v>
      </c>
      <c r="I228" s="2">
        <v>0.2</v>
      </c>
    </row>
    <row r="229" spans="1:9">
      <c r="A229" s="3" t="s">
        <v>261</v>
      </c>
      <c r="B229" s="3">
        <v>2000000</v>
      </c>
      <c r="C229" s="3" t="s">
        <v>19</v>
      </c>
      <c r="D229" s="3">
        <v>0.2</v>
      </c>
      <c r="E229" s="3">
        <v>1.2</v>
      </c>
      <c r="F229" s="3"/>
      <c r="G229" s="3" t="s">
        <v>252</v>
      </c>
      <c r="H229" s="3" t="s">
        <v>13</v>
      </c>
      <c r="I229" s="3">
        <v>0.2</v>
      </c>
    </row>
    <row r="230" spans="1:9">
      <c r="A230" s="2" t="s">
        <v>262</v>
      </c>
      <c r="B230" s="2">
        <v>2000000</v>
      </c>
      <c r="C230" s="2" t="s">
        <v>23</v>
      </c>
      <c r="D230" s="2">
        <v>0.2</v>
      </c>
      <c r="E230" s="2">
        <v>1.2</v>
      </c>
      <c r="F230" s="2"/>
      <c r="G230" s="2" t="s">
        <v>252</v>
      </c>
      <c r="H230" s="2" t="s">
        <v>13</v>
      </c>
      <c r="I230" s="2">
        <v>0.2</v>
      </c>
    </row>
    <row r="231" spans="1:9">
      <c r="A231" s="3" t="s">
        <v>263</v>
      </c>
      <c r="B231" s="3">
        <v>2000000</v>
      </c>
      <c r="C231" s="3" t="s">
        <v>16</v>
      </c>
      <c r="D231" s="3">
        <v>0.2</v>
      </c>
      <c r="E231" s="3">
        <v>1.2</v>
      </c>
      <c r="F231" s="3" t="s">
        <v>148</v>
      </c>
      <c r="G231" s="3" t="s">
        <v>252</v>
      </c>
      <c r="H231" s="3" t="s">
        <v>13</v>
      </c>
      <c r="I231" s="3">
        <v>0.2</v>
      </c>
    </row>
    <row r="232" spans="1:9">
      <c r="A232" s="2" t="s">
        <v>264</v>
      </c>
      <c r="B232" s="2">
        <v>2000000</v>
      </c>
      <c r="C232" s="2" t="s">
        <v>23</v>
      </c>
      <c r="D232" s="2">
        <v>0.2</v>
      </c>
      <c r="E232" s="2">
        <v>1.2</v>
      </c>
      <c r="F232" s="2"/>
      <c r="G232" s="2" t="s">
        <v>252</v>
      </c>
      <c r="H232" s="2" t="s">
        <v>13</v>
      </c>
      <c r="I232" s="2">
        <v>0.2</v>
      </c>
    </row>
    <row r="233" spans="1:9">
      <c r="A233" s="3" t="s">
        <v>265</v>
      </c>
      <c r="B233" s="3"/>
      <c r="C233" s="3" t="s">
        <v>23</v>
      </c>
      <c r="D233" s="3">
        <v>0</v>
      </c>
      <c r="E233" s="3">
        <v>1</v>
      </c>
      <c r="F233" s="3" t="s">
        <v>17</v>
      </c>
      <c r="G233" s="3" t="s">
        <v>252</v>
      </c>
      <c r="H233" s="3" t="s">
        <v>13</v>
      </c>
      <c r="I233" s="3"/>
    </row>
    <row r="234" spans="1:9">
      <c r="A234" s="2" t="s">
        <v>266</v>
      </c>
      <c r="B234" s="2"/>
      <c r="C234" s="2" t="s">
        <v>16</v>
      </c>
      <c r="D234" s="2">
        <v>0</v>
      </c>
      <c r="E234" s="2">
        <v>1</v>
      </c>
      <c r="F234" s="2" t="s">
        <v>17</v>
      </c>
      <c r="G234" s="2" t="s">
        <v>252</v>
      </c>
      <c r="H234" s="2" t="s">
        <v>13</v>
      </c>
      <c r="I234" s="2"/>
    </row>
    <row r="235" spans="1:9">
      <c r="A235" s="3" t="s">
        <v>267</v>
      </c>
      <c r="B235" s="3"/>
      <c r="C235" s="3" t="s">
        <v>10</v>
      </c>
      <c r="D235" s="3">
        <v>0</v>
      </c>
      <c r="E235" s="3">
        <v>1</v>
      </c>
      <c r="F235" s="3" t="s">
        <v>17</v>
      </c>
      <c r="G235" s="3" t="s">
        <v>252</v>
      </c>
      <c r="H235" s="3" t="s">
        <v>13</v>
      </c>
      <c r="I235" s="3"/>
    </row>
    <row r="236" spans="1:9">
      <c r="A236" s="2" t="s">
        <v>268</v>
      </c>
      <c r="B236" s="2"/>
      <c r="C236" s="2" t="s">
        <v>23</v>
      </c>
      <c r="D236" s="2">
        <v>0</v>
      </c>
      <c r="E236" s="2">
        <v>1</v>
      </c>
      <c r="F236" s="2" t="s">
        <v>17</v>
      </c>
      <c r="G236" s="2" t="s">
        <v>252</v>
      </c>
      <c r="H236" s="2" t="s">
        <v>13</v>
      </c>
      <c r="I236" s="2"/>
    </row>
    <row r="237" spans="1:9">
      <c r="A237" s="3" t="s">
        <v>269</v>
      </c>
      <c r="B237" s="3"/>
      <c r="C237" s="3" t="s">
        <v>10</v>
      </c>
      <c r="D237" s="3">
        <v>0</v>
      </c>
      <c r="E237" s="3">
        <v>1</v>
      </c>
      <c r="F237" s="3" t="s">
        <v>17</v>
      </c>
      <c r="G237" s="3" t="s">
        <v>252</v>
      </c>
      <c r="H237" s="3" t="s">
        <v>13</v>
      </c>
      <c r="I237" s="3"/>
    </row>
    <row r="238" spans="1:9">
      <c r="A238" s="2" t="s">
        <v>270</v>
      </c>
      <c r="B238" s="2"/>
      <c r="C238" s="2" t="s">
        <v>10</v>
      </c>
      <c r="D238" s="2">
        <v>0</v>
      </c>
      <c r="E238" s="2">
        <v>1</v>
      </c>
      <c r="F238" s="2" t="s">
        <v>17</v>
      </c>
      <c r="G238" s="2" t="s">
        <v>252</v>
      </c>
      <c r="H238" s="2" t="s">
        <v>13</v>
      </c>
      <c r="I238" s="2"/>
    </row>
    <row r="239" spans="1:9">
      <c r="A239" s="3" t="s">
        <v>271</v>
      </c>
      <c r="B239" s="3"/>
      <c r="C239" s="3" t="s">
        <v>10</v>
      </c>
      <c r="D239" s="3">
        <v>0</v>
      </c>
      <c r="E239" s="3">
        <v>1</v>
      </c>
      <c r="F239" s="3" t="s">
        <v>17</v>
      </c>
      <c r="G239" s="3" t="s">
        <v>252</v>
      </c>
      <c r="H239" s="3" t="s">
        <v>13</v>
      </c>
      <c r="I239" s="3"/>
    </row>
    <row r="240" spans="1:9">
      <c r="A240" s="2" t="s">
        <v>272</v>
      </c>
      <c r="B240" s="2"/>
      <c r="C240" s="2" t="s">
        <v>16</v>
      </c>
      <c r="D240" s="2">
        <v>0</v>
      </c>
      <c r="E240" s="2">
        <v>1</v>
      </c>
      <c r="F240" s="2" t="s">
        <v>17</v>
      </c>
      <c r="G240" s="2" t="s">
        <v>252</v>
      </c>
      <c r="H240" s="2" t="s">
        <v>13</v>
      </c>
      <c r="I240" s="2"/>
    </row>
    <row r="241" spans="1:9">
      <c r="A241" s="3" t="s">
        <v>273</v>
      </c>
      <c r="B241" s="3"/>
      <c r="C241" s="3" t="s">
        <v>23</v>
      </c>
      <c r="D241" s="3">
        <v>0</v>
      </c>
      <c r="E241" s="3">
        <v>1</v>
      </c>
      <c r="F241" s="3" t="s">
        <v>17</v>
      </c>
      <c r="G241" s="3" t="s">
        <v>252</v>
      </c>
      <c r="H241" s="3" t="s">
        <v>13</v>
      </c>
      <c r="I241" s="3"/>
    </row>
    <row r="242" spans="1:9">
      <c r="A242" s="2" t="s">
        <v>274</v>
      </c>
      <c r="B242" s="2"/>
      <c r="C242" s="2" t="s">
        <v>16</v>
      </c>
      <c r="D242" s="2">
        <v>0</v>
      </c>
      <c r="E242" s="2">
        <v>1</v>
      </c>
      <c r="F242" s="2" t="s">
        <v>17</v>
      </c>
      <c r="G242" s="2" t="s">
        <v>252</v>
      </c>
      <c r="H242" s="2" t="s">
        <v>13</v>
      </c>
      <c r="I242" s="2"/>
    </row>
    <row r="243" spans="1:9">
      <c r="A243" s="3" t="s">
        <v>275</v>
      </c>
      <c r="B243" s="3"/>
      <c r="C243" s="3" t="s">
        <v>10</v>
      </c>
      <c r="D243" s="3">
        <v>0</v>
      </c>
      <c r="E243" s="3">
        <v>1</v>
      </c>
      <c r="F243" s="3" t="s">
        <v>17</v>
      </c>
      <c r="G243" s="3" t="s">
        <v>252</v>
      </c>
      <c r="H243" s="3" t="s">
        <v>13</v>
      </c>
      <c r="I243" s="3"/>
    </row>
    <row r="244" spans="1:9">
      <c r="A244" s="2" t="s">
        <v>276</v>
      </c>
      <c r="B244" s="2"/>
      <c r="C244" s="2" t="s">
        <v>19</v>
      </c>
      <c r="D244" s="2">
        <v>0</v>
      </c>
      <c r="E244" s="2">
        <v>1</v>
      </c>
      <c r="F244" s="2" t="s">
        <v>17</v>
      </c>
      <c r="G244" s="2" t="s">
        <v>252</v>
      </c>
      <c r="H244" s="2" t="s">
        <v>13</v>
      </c>
      <c r="I244" s="2"/>
    </row>
    <row r="245" spans="1:9">
      <c r="A245" s="3" t="s">
        <v>277</v>
      </c>
      <c r="B245" s="3">
        <v>20000000</v>
      </c>
      <c r="C245" s="3" t="s">
        <v>19</v>
      </c>
      <c r="D245" s="3">
        <v>0</v>
      </c>
      <c r="E245" s="3">
        <v>1</v>
      </c>
      <c r="F245" s="3"/>
      <c r="G245" s="3" t="s">
        <v>278</v>
      </c>
      <c r="H245" s="3" t="s">
        <v>278</v>
      </c>
      <c r="I245" s="3">
        <v>2</v>
      </c>
    </row>
    <row r="246" spans="1:9">
      <c r="A246" s="2" t="s">
        <v>279</v>
      </c>
      <c r="B246" s="2">
        <v>5000000</v>
      </c>
      <c r="C246" s="2" t="s">
        <v>19</v>
      </c>
      <c r="D246" s="2">
        <v>0</v>
      </c>
      <c r="E246" s="2">
        <v>1</v>
      </c>
      <c r="F246" s="2"/>
      <c r="G246" s="2" t="s">
        <v>278</v>
      </c>
      <c r="H246" s="2" t="s">
        <v>278</v>
      </c>
      <c r="I246" s="2">
        <v>0.5</v>
      </c>
    </row>
    <row r="247" spans="1:9">
      <c r="A247" s="3" t="s">
        <v>280</v>
      </c>
      <c r="B247" s="3">
        <v>20000000</v>
      </c>
      <c r="C247" s="3" t="s">
        <v>10</v>
      </c>
      <c r="D247" s="3">
        <v>0</v>
      </c>
      <c r="E247" s="3">
        <v>1</v>
      </c>
      <c r="F247" s="3" t="s">
        <v>51</v>
      </c>
      <c r="G247" s="3" t="s">
        <v>278</v>
      </c>
      <c r="H247" s="3" t="s">
        <v>278</v>
      </c>
      <c r="I247" s="3">
        <v>2</v>
      </c>
    </row>
    <row r="248" spans="1:9">
      <c r="A248" s="2" t="s">
        <v>281</v>
      </c>
      <c r="B248" s="2">
        <v>20000000</v>
      </c>
      <c r="C248" s="2" t="s">
        <v>10</v>
      </c>
      <c r="D248" s="2">
        <v>0</v>
      </c>
      <c r="E248" s="2">
        <v>1</v>
      </c>
      <c r="F248" s="2" t="s">
        <v>51</v>
      </c>
      <c r="G248" s="2" t="s">
        <v>278</v>
      </c>
      <c r="H248" s="2" t="s">
        <v>278</v>
      </c>
      <c r="I248" s="2">
        <v>2</v>
      </c>
    </row>
    <row r="249" spans="1:9">
      <c r="A249" s="3" t="s">
        <v>282</v>
      </c>
      <c r="B249" s="3">
        <v>10000000</v>
      </c>
      <c r="C249" s="3" t="s">
        <v>10</v>
      </c>
      <c r="D249" s="3">
        <v>0</v>
      </c>
      <c r="E249" s="3">
        <v>1</v>
      </c>
      <c r="F249" s="3"/>
      <c r="G249" s="3" t="s">
        <v>278</v>
      </c>
      <c r="H249" s="3" t="s">
        <v>278</v>
      </c>
      <c r="I249" s="3">
        <v>1</v>
      </c>
    </row>
    <row r="250" spans="1:9">
      <c r="A250" s="2" t="s">
        <v>283</v>
      </c>
      <c r="B250" s="2">
        <v>10000000</v>
      </c>
      <c r="C250" s="2" t="s">
        <v>10</v>
      </c>
      <c r="D250" s="2">
        <v>0</v>
      </c>
      <c r="E250" s="2">
        <v>1</v>
      </c>
      <c r="F250" s="2"/>
      <c r="G250" s="2" t="s">
        <v>278</v>
      </c>
      <c r="H250" s="2" t="s">
        <v>278</v>
      </c>
      <c r="I250" s="2">
        <v>1</v>
      </c>
    </row>
    <row r="251" spans="1:9">
      <c r="A251" s="3" t="s">
        <v>284</v>
      </c>
      <c r="B251" s="3">
        <v>2000000</v>
      </c>
      <c r="C251" s="3" t="s">
        <v>16</v>
      </c>
      <c r="D251" s="3">
        <v>0</v>
      </c>
      <c r="E251" s="3">
        <v>1</v>
      </c>
      <c r="F251" s="3"/>
      <c r="G251" s="3" t="s">
        <v>278</v>
      </c>
      <c r="H251" s="3" t="s">
        <v>278</v>
      </c>
      <c r="I251" s="3">
        <v>0.2</v>
      </c>
    </row>
    <row r="252" spans="1:9">
      <c r="A252" s="2" t="s">
        <v>285</v>
      </c>
      <c r="B252" s="2">
        <v>2000000</v>
      </c>
      <c r="C252" s="2" t="s">
        <v>16</v>
      </c>
      <c r="D252" s="2">
        <v>0</v>
      </c>
      <c r="E252" s="2">
        <v>1</v>
      </c>
      <c r="F252" s="2"/>
      <c r="G252" s="2" t="s">
        <v>278</v>
      </c>
      <c r="H252" s="2" t="s">
        <v>278</v>
      </c>
      <c r="I252" s="2">
        <v>0.2</v>
      </c>
    </row>
    <row r="253" spans="1:9">
      <c r="A253" s="3" t="s">
        <v>286</v>
      </c>
      <c r="B253" s="3">
        <v>2000000</v>
      </c>
      <c r="C253" s="3" t="s">
        <v>16</v>
      </c>
      <c r="D253" s="3">
        <v>0</v>
      </c>
      <c r="E253" s="3">
        <v>1</v>
      </c>
      <c r="F253" s="3"/>
      <c r="G253" s="3" t="s">
        <v>278</v>
      </c>
      <c r="H253" s="3" t="s">
        <v>278</v>
      </c>
      <c r="I253" s="3">
        <v>0.2</v>
      </c>
    </row>
    <row r="254" spans="1:9">
      <c r="A254" s="2" t="s">
        <v>287</v>
      </c>
      <c r="B254" s="2">
        <v>2000000</v>
      </c>
      <c r="C254" s="2" t="s">
        <v>16</v>
      </c>
      <c r="D254" s="2">
        <v>0</v>
      </c>
      <c r="E254" s="2">
        <v>1</v>
      </c>
      <c r="F254" s="2"/>
      <c r="G254" s="2" t="s">
        <v>278</v>
      </c>
      <c r="H254" s="2" t="s">
        <v>278</v>
      </c>
      <c r="I254" s="2">
        <v>0.2</v>
      </c>
    </row>
    <row r="255" spans="1:9">
      <c r="A255" s="3" t="s">
        <v>288</v>
      </c>
      <c r="B255" s="3">
        <v>2000000</v>
      </c>
      <c r="C255" s="3" t="s">
        <v>23</v>
      </c>
      <c r="D255" s="3">
        <v>0</v>
      </c>
      <c r="E255" s="3">
        <v>1</v>
      </c>
      <c r="F255" s="3" t="s">
        <v>235</v>
      </c>
      <c r="G255" s="3" t="s">
        <v>278</v>
      </c>
      <c r="H255" s="3" t="s">
        <v>278</v>
      </c>
      <c r="I255" s="3">
        <v>0.2</v>
      </c>
    </row>
    <row r="256" spans="1:9">
      <c r="A256" s="2" t="s">
        <v>289</v>
      </c>
      <c r="B256" s="2">
        <v>2000000</v>
      </c>
      <c r="C256" s="2" t="s">
        <v>23</v>
      </c>
      <c r="D256" s="2">
        <v>0</v>
      </c>
      <c r="E256" s="2">
        <v>1</v>
      </c>
      <c r="F256" s="2" t="s">
        <v>17</v>
      </c>
      <c r="G256" s="2" t="s">
        <v>278</v>
      </c>
      <c r="H256" s="2" t="s">
        <v>278</v>
      </c>
      <c r="I256" s="2">
        <v>0.2</v>
      </c>
    </row>
    <row r="257" spans="1:9">
      <c r="A257" s="3" t="s">
        <v>290</v>
      </c>
      <c r="B257" s="3">
        <v>2000000</v>
      </c>
      <c r="C257" s="3" t="s">
        <v>23</v>
      </c>
      <c r="D257" s="3">
        <v>0</v>
      </c>
      <c r="E257" s="3">
        <v>1</v>
      </c>
      <c r="F257" s="3"/>
      <c r="G257" s="3" t="s">
        <v>278</v>
      </c>
      <c r="H257" s="3" t="s">
        <v>278</v>
      </c>
      <c r="I257" s="3">
        <v>0.2</v>
      </c>
    </row>
    <row r="258" spans="1:9">
      <c r="A258" s="2" t="s">
        <v>291</v>
      </c>
      <c r="B258" s="2">
        <v>2000000</v>
      </c>
      <c r="C258" s="2" t="s">
        <v>23</v>
      </c>
      <c r="D258" s="2">
        <v>0</v>
      </c>
      <c r="E258" s="2">
        <v>1</v>
      </c>
      <c r="F258" s="2" t="s">
        <v>17</v>
      </c>
      <c r="G258" s="2" t="s">
        <v>278</v>
      </c>
      <c r="H258" s="2" t="s">
        <v>278</v>
      </c>
      <c r="I258" s="2">
        <v>0.2</v>
      </c>
    </row>
    <row r="259" spans="1:9">
      <c r="A259" s="3" t="s">
        <v>292</v>
      </c>
      <c r="B259" s="3">
        <v>2000000</v>
      </c>
      <c r="C259" s="3" t="s">
        <v>19</v>
      </c>
      <c r="D259" s="3">
        <v>0</v>
      </c>
      <c r="E259" s="3">
        <v>1</v>
      </c>
      <c r="F259" s="3"/>
      <c r="G259" s="3" t="s">
        <v>278</v>
      </c>
      <c r="H259" s="3" t="s">
        <v>278</v>
      </c>
      <c r="I259" s="3">
        <v>0.2</v>
      </c>
    </row>
    <row r="260" spans="1:9">
      <c r="A260" s="2" t="s">
        <v>293</v>
      </c>
      <c r="B260" s="2">
        <v>2000000</v>
      </c>
      <c r="C260" s="2" t="s">
        <v>19</v>
      </c>
      <c r="D260" s="2">
        <v>0</v>
      </c>
      <c r="E260" s="2">
        <v>1</v>
      </c>
      <c r="F260" s="2"/>
      <c r="G260" s="2" t="s">
        <v>278</v>
      </c>
      <c r="H260" s="2" t="s">
        <v>278</v>
      </c>
      <c r="I260" s="2">
        <v>0.2</v>
      </c>
    </row>
    <row r="261" spans="1:9">
      <c r="A261" s="3" t="s">
        <v>294</v>
      </c>
      <c r="B261" s="3">
        <v>2000000</v>
      </c>
      <c r="C261" s="3" t="s">
        <v>19</v>
      </c>
      <c r="D261" s="3">
        <v>0</v>
      </c>
      <c r="E261" s="3">
        <v>1</v>
      </c>
      <c r="F261" s="3"/>
      <c r="G261" s="3" t="s">
        <v>278</v>
      </c>
      <c r="H261" s="3" t="s">
        <v>278</v>
      </c>
      <c r="I261" s="3">
        <v>0.2</v>
      </c>
    </row>
    <row r="262" spans="1:9">
      <c r="A262" s="2" t="s">
        <v>295</v>
      </c>
      <c r="B262" s="2">
        <v>2000000</v>
      </c>
      <c r="C262" s="2" t="s">
        <v>19</v>
      </c>
      <c r="D262" s="2">
        <v>0</v>
      </c>
      <c r="E262" s="2">
        <v>1</v>
      </c>
      <c r="F262" s="2"/>
      <c r="G262" s="2" t="s">
        <v>278</v>
      </c>
      <c r="H262" s="2" t="s">
        <v>278</v>
      </c>
      <c r="I262" s="2">
        <v>0.2</v>
      </c>
    </row>
    <row r="263" spans="1:9">
      <c r="A263" s="3" t="s">
        <v>296</v>
      </c>
      <c r="B263" s="3">
        <v>3000000</v>
      </c>
      <c r="C263" s="3" t="s">
        <v>10</v>
      </c>
      <c r="D263" s="3">
        <v>0</v>
      </c>
      <c r="E263" s="3">
        <v>1</v>
      </c>
      <c r="F263" s="3"/>
      <c r="G263" s="3" t="s">
        <v>278</v>
      </c>
      <c r="H263" s="3" t="s">
        <v>278</v>
      </c>
      <c r="I263" s="3">
        <v>0.3</v>
      </c>
    </row>
    <row r="264" spans="1:9">
      <c r="A264" s="2" t="s">
        <v>297</v>
      </c>
      <c r="B264" s="2">
        <v>2000000</v>
      </c>
      <c r="C264" s="2" t="s">
        <v>10</v>
      </c>
      <c r="D264" s="2">
        <v>0</v>
      </c>
      <c r="E264" s="2">
        <v>1</v>
      </c>
      <c r="F264" s="2"/>
      <c r="G264" s="2" t="s">
        <v>278</v>
      </c>
      <c r="H264" s="2" t="s">
        <v>278</v>
      </c>
      <c r="I264" s="2">
        <v>0.2</v>
      </c>
    </row>
    <row r="265" spans="1:9">
      <c r="A265" s="3" t="s">
        <v>298</v>
      </c>
      <c r="B265" s="3">
        <v>2000000</v>
      </c>
      <c r="C265" s="3" t="s">
        <v>10</v>
      </c>
      <c r="D265" s="3">
        <v>0</v>
      </c>
      <c r="E265" s="3">
        <v>1</v>
      </c>
      <c r="F265" s="3"/>
      <c r="G265" s="3" t="s">
        <v>278</v>
      </c>
      <c r="H265" s="3" t="s">
        <v>278</v>
      </c>
      <c r="I265" s="3">
        <v>0.2</v>
      </c>
    </row>
    <row r="266" spans="1:9">
      <c r="A266" s="2" t="s">
        <v>299</v>
      </c>
      <c r="B266" s="2">
        <v>2000000</v>
      </c>
      <c r="C266" s="2" t="s">
        <v>10</v>
      </c>
      <c r="D266" s="2">
        <v>0</v>
      </c>
      <c r="E266" s="2">
        <v>1</v>
      </c>
      <c r="F266" s="2" t="s">
        <v>17</v>
      </c>
      <c r="G266" s="2" t="s">
        <v>278</v>
      </c>
      <c r="H266" s="2" t="s">
        <v>278</v>
      </c>
      <c r="I266" s="2">
        <v>0.2</v>
      </c>
    </row>
    <row r="267" spans="1:9">
      <c r="A267" s="3" t="s">
        <v>300</v>
      </c>
      <c r="B267" s="3">
        <v>2000000</v>
      </c>
      <c r="C267" s="3" t="s">
        <v>10</v>
      </c>
      <c r="D267" s="3">
        <v>0</v>
      </c>
      <c r="E267" s="3">
        <v>1</v>
      </c>
      <c r="F267" s="3"/>
      <c r="G267" s="3" t="s">
        <v>278</v>
      </c>
      <c r="H267" s="3" t="s">
        <v>278</v>
      </c>
      <c r="I267" s="3">
        <v>0.2</v>
      </c>
    </row>
    <row r="268" spans="1:9">
      <c r="A268" s="2" t="s">
        <v>301</v>
      </c>
      <c r="B268" s="2">
        <v>2000000</v>
      </c>
      <c r="C268" s="2" t="s">
        <v>10</v>
      </c>
      <c r="D268" s="2">
        <v>0</v>
      </c>
      <c r="E268" s="2">
        <v>1</v>
      </c>
      <c r="F268" s="2"/>
      <c r="G268" s="2" t="s">
        <v>278</v>
      </c>
      <c r="H268" s="2" t="s">
        <v>278</v>
      </c>
      <c r="I268" s="2">
        <v>0.2</v>
      </c>
    </row>
    <row r="269" spans="1:9">
      <c r="A269" s="3" t="s">
        <v>302</v>
      </c>
      <c r="B269" s="3">
        <v>20000000</v>
      </c>
      <c r="C269" s="3" t="s">
        <v>16</v>
      </c>
      <c r="D269" s="3">
        <v>0</v>
      </c>
      <c r="E269" s="3">
        <v>1</v>
      </c>
      <c r="F269" s="3"/>
      <c r="G269" s="3" t="s">
        <v>278</v>
      </c>
      <c r="H269" s="3" t="s">
        <v>278</v>
      </c>
      <c r="I269" s="3">
        <v>2</v>
      </c>
    </row>
    <row r="270" spans="1:9">
      <c r="A270" s="2" t="s">
        <v>303</v>
      </c>
      <c r="B270" s="2">
        <v>1500000</v>
      </c>
      <c r="C270" s="2" t="s">
        <v>16</v>
      </c>
      <c r="D270" s="2">
        <v>0</v>
      </c>
      <c r="E270" s="2">
        <v>1</v>
      </c>
      <c r="F270" s="2"/>
      <c r="G270" s="2" t="s">
        <v>278</v>
      </c>
      <c r="H270" s="2" t="s">
        <v>278</v>
      </c>
      <c r="I270" s="2">
        <v>0.15</v>
      </c>
    </row>
    <row r="271" spans="1:9">
      <c r="A271" s="3" t="s">
        <v>304</v>
      </c>
      <c r="B271" s="3">
        <v>1500000</v>
      </c>
      <c r="C271" s="3" t="s">
        <v>16</v>
      </c>
      <c r="D271" s="3">
        <v>0</v>
      </c>
      <c r="E271" s="3">
        <v>1</v>
      </c>
      <c r="F271" s="3" t="s">
        <v>206</v>
      </c>
      <c r="G271" s="3" t="s">
        <v>278</v>
      </c>
      <c r="H271" s="3" t="s">
        <v>278</v>
      </c>
      <c r="I271" s="3">
        <v>0.15</v>
      </c>
    </row>
    <row r="272" spans="1:9">
      <c r="A272" s="2" t="s">
        <v>305</v>
      </c>
      <c r="B272" s="2">
        <v>5000000</v>
      </c>
      <c r="C272" s="2" t="s">
        <v>16</v>
      </c>
      <c r="D272" s="2">
        <v>0</v>
      </c>
      <c r="E272" s="2">
        <v>1</v>
      </c>
      <c r="F272" s="2"/>
      <c r="G272" s="2" t="s">
        <v>278</v>
      </c>
      <c r="H272" s="2" t="s">
        <v>278</v>
      </c>
      <c r="I272" s="2">
        <v>0.5</v>
      </c>
    </row>
    <row r="273" spans="1:9">
      <c r="A273" s="3" t="s">
        <v>306</v>
      </c>
      <c r="B273" s="3">
        <v>20000000</v>
      </c>
      <c r="C273" s="3" t="s">
        <v>16</v>
      </c>
      <c r="D273" s="3">
        <v>0</v>
      </c>
      <c r="E273" s="3">
        <v>1</v>
      </c>
      <c r="F273" s="3" t="s">
        <v>235</v>
      </c>
      <c r="G273" s="3" t="s">
        <v>278</v>
      </c>
      <c r="H273" s="3" t="s">
        <v>278</v>
      </c>
      <c r="I273" s="3">
        <v>2</v>
      </c>
    </row>
    <row r="274" spans="1:9">
      <c r="A274" s="2" t="s">
        <v>307</v>
      </c>
      <c r="B274" s="2">
        <v>10000000</v>
      </c>
      <c r="C274" s="2" t="s">
        <v>23</v>
      </c>
      <c r="D274" s="2">
        <v>0</v>
      </c>
      <c r="E274" s="2">
        <v>1</v>
      </c>
      <c r="F274" s="2" t="s">
        <v>235</v>
      </c>
      <c r="G274" s="2" t="s">
        <v>278</v>
      </c>
      <c r="H274" s="2" t="s">
        <v>278</v>
      </c>
      <c r="I274" s="2">
        <v>1</v>
      </c>
    </row>
    <row r="275" spans="1:9">
      <c r="A275" s="3" t="s">
        <v>308</v>
      </c>
      <c r="B275" s="3">
        <v>10000000</v>
      </c>
      <c r="C275" s="3" t="s">
        <v>23</v>
      </c>
      <c r="D275" s="3">
        <v>0</v>
      </c>
      <c r="E275" s="3">
        <v>1</v>
      </c>
      <c r="F275" s="3" t="s">
        <v>11</v>
      </c>
      <c r="G275" s="3" t="s">
        <v>278</v>
      </c>
      <c r="H275" s="3" t="s">
        <v>278</v>
      </c>
      <c r="I275" s="3">
        <v>1</v>
      </c>
    </row>
    <row r="276" spans="1:9">
      <c r="A276" s="2" t="s">
        <v>309</v>
      </c>
      <c r="B276" s="2">
        <v>20000000</v>
      </c>
      <c r="C276" s="2" t="s">
        <v>23</v>
      </c>
      <c r="D276" s="2">
        <v>0</v>
      </c>
      <c r="E276" s="2">
        <v>1</v>
      </c>
      <c r="F276" s="2" t="s">
        <v>235</v>
      </c>
      <c r="G276" s="2" t="s">
        <v>278</v>
      </c>
      <c r="H276" s="2" t="s">
        <v>278</v>
      </c>
      <c r="I276" s="2">
        <v>2</v>
      </c>
    </row>
    <row r="277" spans="1:9">
      <c r="A277" s="3" t="s">
        <v>310</v>
      </c>
      <c r="B277" s="3">
        <v>7500000</v>
      </c>
      <c r="C277" s="3" t="s">
        <v>23</v>
      </c>
      <c r="D277" s="3">
        <v>0</v>
      </c>
      <c r="E277" s="3">
        <v>1</v>
      </c>
      <c r="F277" s="3"/>
      <c r="G277" s="3" t="s">
        <v>278</v>
      </c>
      <c r="H277" s="3" t="s">
        <v>278</v>
      </c>
      <c r="I277" s="3">
        <v>0.75</v>
      </c>
    </row>
    <row r="278" spans="1:9">
      <c r="A278" s="2" t="s">
        <v>311</v>
      </c>
      <c r="B278" s="2">
        <v>5000000</v>
      </c>
      <c r="C278" s="2" t="s">
        <v>23</v>
      </c>
      <c r="D278" s="2">
        <v>0</v>
      </c>
      <c r="E278" s="2">
        <v>1</v>
      </c>
      <c r="F278" s="2"/>
      <c r="G278" s="2" t="s">
        <v>278</v>
      </c>
      <c r="H278" s="2" t="s">
        <v>278</v>
      </c>
      <c r="I278" s="2">
        <v>0.5</v>
      </c>
    </row>
    <row r="279" spans="1:9">
      <c r="A279" s="3" t="s">
        <v>312</v>
      </c>
      <c r="B279" s="3">
        <v>5000000</v>
      </c>
      <c r="C279" s="3" t="s">
        <v>10</v>
      </c>
      <c r="D279" s="3">
        <v>0</v>
      </c>
      <c r="E279" s="3">
        <v>1</v>
      </c>
      <c r="F279" s="3"/>
      <c r="G279" s="3" t="s">
        <v>278</v>
      </c>
      <c r="H279" s="3" t="s">
        <v>278</v>
      </c>
      <c r="I279" s="3">
        <v>0.5</v>
      </c>
    </row>
    <row r="280" spans="1:9">
      <c r="A280" s="2" t="s">
        <v>313</v>
      </c>
      <c r="B280" s="2">
        <v>5000000</v>
      </c>
      <c r="C280" s="2" t="s">
        <v>10</v>
      </c>
      <c r="D280" s="2">
        <v>0</v>
      </c>
      <c r="E280" s="2">
        <v>1</v>
      </c>
      <c r="F280" s="2" t="s">
        <v>76</v>
      </c>
      <c r="G280" s="2" t="s">
        <v>278</v>
      </c>
      <c r="H280" s="2" t="s">
        <v>278</v>
      </c>
      <c r="I280" s="2">
        <v>0.5</v>
      </c>
    </row>
    <row r="281" spans="1:9">
      <c r="A281" s="3" t="s">
        <v>314</v>
      </c>
      <c r="B281" s="3">
        <v>1500000</v>
      </c>
      <c r="C281" s="3" t="s">
        <v>10</v>
      </c>
      <c r="D281" s="3">
        <v>0</v>
      </c>
      <c r="E281" s="3">
        <v>1</v>
      </c>
      <c r="F281" s="3" t="s">
        <v>148</v>
      </c>
      <c r="G281" s="3" t="s">
        <v>278</v>
      </c>
      <c r="H281" s="3" t="s">
        <v>278</v>
      </c>
      <c r="I281" s="3">
        <v>0.15</v>
      </c>
    </row>
    <row r="282" spans="1:9">
      <c r="A282" s="2" t="s">
        <v>315</v>
      </c>
      <c r="B282" s="2">
        <v>5000000</v>
      </c>
      <c r="C282" s="2" t="s">
        <v>10</v>
      </c>
      <c r="D282" s="2">
        <v>0</v>
      </c>
      <c r="E282" s="2">
        <v>1</v>
      </c>
      <c r="F282" s="2"/>
      <c r="G282" s="2" t="s">
        <v>278</v>
      </c>
      <c r="H282" s="2" t="s">
        <v>278</v>
      </c>
      <c r="I282" s="2">
        <v>0.5</v>
      </c>
    </row>
    <row r="283" spans="1:9">
      <c r="A283" s="3" t="s">
        <v>316</v>
      </c>
      <c r="B283" s="3">
        <v>5000000</v>
      </c>
      <c r="C283" s="3" t="s">
        <v>10</v>
      </c>
      <c r="D283" s="3">
        <v>0</v>
      </c>
      <c r="E283" s="3">
        <v>1</v>
      </c>
      <c r="F283" s="3" t="s">
        <v>24</v>
      </c>
      <c r="G283" s="3" t="s">
        <v>278</v>
      </c>
      <c r="H283" s="3" t="s">
        <v>278</v>
      </c>
      <c r="I283" s="3">
        <v>0.5</v>
      </c>
    </row>
    <row r="284" spans="1:9">
      <c r="A284" s="2" t="s">
        <v>317</v>
      </c>
      <c r="B284" s="2">
        <v>5000000</v>
      </c>
      <c r="C284" s="2" t="s">
        <v>19</v>
      </c>
      <c r="D284" s="2">
        <v>0</v>
      </c>
      <c r="E284" s="2">
        <v>1</v>
      </c>
      <c r="F284" s="2"/>
      <c r="G284" s="2" t="s">
        <v>278</v>
      </c>
      <c r="H284" s="2" t="s">
        <v>278</v>
      </c>
      <c r="I284" s="2">
        <v>0.5</v>
      </c>
    </row>
    <row r="285" spans="1:9">
      <c r="A285" s="3" t="s">
        <v>318</v>
      </c>
      <c r="B285" s="3">
        <v>5000000</v>
      </c>
      <c r="C285" s="3" t="s">
        <v>19</v>
      </c>
      <c r="D285" s="3">
        <v>0</v>
      </c>
      <c r="E285" s="3">
        <v>1</v>
      </c>
      <c r="F285" s="3"/>
      <c r="G285" s="3" t="s">
        <v>278</v>
      </c>
      <c r="H285" s="3" t="s">
        <v>278</v>
      </c>
      <c r="I285" s="3">
        <v>0.5</v>
      </c>
    </row>
    <row r="286" spans="1:9">
      <c r="A286" s="2" t="s">
        <v>319</v>
      </c>
      <c r="B286" s="2">
        <v>10000000</v>
      </c>
      <c r="C286" s="2" t="s">
        <v>19</v>
      </c>
      <c r="D286" s="2">
        <v>0</v>
      </c>
      <c r="E286" s="2">
        <v>1</v>
      </c>
      <c r="F286" s="2"/>
      <c r="G286" s="2" t="s">
        <v>278</v>
      </c>
      <c r="H286" s="2" t="s">
        <v>278</v>
      </c>
      <c r="I286" s="2">
        <v>1</v>
      </c>
    </row>
    <row r="287" spans="1:9">
      <c r="A287" s="3" t="s">
        <v>320</v>
      </c>
      <c r="B287" s="3">
        <v>10000000</v>
      </c>
      <c r="C287" s="3" t="s">
        <v>19</v>
      </c>
      <c r="D287" s="3">
        <v>0</v>
      </c>
      <c r="E287" s="3">
        <v>1</v>
      </c>
      <c r="F287" s="3"/>
      <c r="G287" s="3" t="s">
        <v>278</v>
      </c>
      <c r="H287" s="3" t="s">
        <v>278</v>
      </c>
      <c r="I287" s="3">
        <v>1</v>
      </c>
    </row>
    <row r="288" spans="1:9">
      <c r="A288" s="2" t="s">
        <v>321</v>
      </c>
      <c r="B288" s="2">
        <v>7500000</v>
      </c>
      <c r="C288" s="2" t="s">
        <v>19</v>
      </c>
      <c r="D288" s="2">
        <v>0</v>
      </c>
      <c r="E288" s="2">
        <v>1</v>
      </c>
      <c r="F288" s="2"/>
      <c r="G288" s="2" t="s">
        <v>278</v>
      </c>
      <c r="H288" s="2" t="s">
        <v>278</v>
      </c>
      <c r="I288" s="2">
        <v>0.75</v>
      </c>
    </row>
    <row r="289" spans="1:9">
      <c r="A289" s="3" t="s">
        <v>322</v>
      </c>
      <c r="B289" s="3">
        <v>5000000</v>
      </c>
      <c r="C289" s="3" t="s">
        <v>19</v>
      </c>
      <c r="D289" s="3">
        <v>0</v>
      </c>
      <c r="E289" s="3">
        <v>1</v>
      </c>
      <c r="F289" s="3"/>
      <c r="G289" s="3" t="s">
        <v>278</v>
      </c>
      <c r="H289" s="3" t="s">
        <v>278</v>
      </c>
      <c r="I289" s="3">
        <v>0.5</v>
      </c>
    </row>
    <row r="290" spans="1:9">
      <c r="A290" s="2" t="s">
        <v>323</v>
      </c>
      <c r="B290" s="2">
        <v>5000000</v>
      </c>
      <c r="C290" s="2" t="s">
        <v>10</v>
      </c>
      <c r="D290" s="2">
        <v>0</v>
      </c>
      <c r="E290" s="2">
        <v>1</v>
      </c>
      <c r="F290" s="2" t="s">
        <v>76</v>
      </c>
      <c r="G290" s="2" t="s">
        <v>278</v>
      </c>
      <c r="H290" s="2" t="s">
        <v>278</v>
      </c>
      <c r="I290" s="2">
        <v>0.5</v>
      </c>
    </row>
    <row r="291" spans="1:9">
      <c r="A291" s="3" t="s">
        <v>324</v>
      </c>
      <c r="B291" s="3">
        <v>7500000</v>
      </c>
      <c r="C291" s="3" t="s">
        <v>10</v>
      </c>
      <c r="D291" s="3">
        <v>0</v>
      </c>
      <c r="E291" s="3">
        <v>1</v>
      </c>
      <c r="F291" s="3"/>
      <c r="G291" s="3" t="s">
        <v>278</v>
      </c>
      <c r="H291" s="3" t="s">
        <v>278</v>
      </c>
      <c r="I291" s="3">
        <v>0.75</v>
      </c>
    </row>
    <row r="292" spans="1:9">
      <c r="A292" s="2" t="s">
        <v>325</v>
      </c>
      <c r="B292" s="2">
        <v>2000000</v>
      </c>
      <c r="C292" s="2" t="s">
        <v>16</v>
      </c>
      <c r="D292" s="2">
        <v>0</v>
      </c>
      <c r="E292" s="2">
        <v>1</v>
      </c>
      <c r="F292" s="2"/>
      <c r="G292" s="2" t="s">
        <v>278</v>
      </c>
      <c r="H292" s="2" t="s">
        <v>278</v>
      </c>
      <c r="I292" s="2">
        <v>0.2</v>
      </c>
    </row>
    <row r="293" spans="1:9">
      <c r="A293" s="3" t="s">
        <v>326</v>
      </c>
      <c r="B293" s="3">
        <v>2000000</v>
      </c>
      <c r="C293" s="3" t="s">
        <v>16</v>
      </c>
      <c r="D293" s="3">
        <v>0</v>
      </c>
      <c r="E293" s="3">
        <v>1</v>
      </c>
      <c r="F293" s="3" t="s">
        <v>20</v>
      </c>
      <c r="G293" s="3" t="s">
        <v>278</v>
      </c>
      <c r="H293" s="3" t="s">
        <v>278</v>
      </c>
      <c r="I293" s="3">
        <v>0.2</v>
      </c>
    </row>
    <row r="294" spans="1:9">
      <c r="A294" s="2" t="s">
        <v>327</v>
      </c>
      <c r="B294" s="2">
        <v>2000000</v>
      </c>
      <c r="C294" s="2" t="s">
        <v>16</v>
      </c>
      <c r="D294" s="2">
        <v>0</v>
      </c>
      <c r="E294" s="2">
        <v>1</v>
      </c>
      <c r="F294" s="2"/>
      <c r="G294" s="2" t="s">
        <v>278</v>
      </c>
      <c r="H294" s="2" t="s">
        <v>278</v>
      </c>
      <c r="I294" s="2">
        <v>0.2</v>
      </c>
    </row>
    <row r="295" spans="1:9">
      <c r="A295" s="3" t="s">
        <v>328</v>
      </c>
      <c r="B295" s="3">
        <v>2000000</v>
      </c>
      <c r="C295" s="3" t="s">
        <v>16</v>
      </c>
      <c r="D295" s="3">
        <v>0</v>
      </c>
      <c r="E295" s="3">
        <v>1</v>
      </c>
      <c r="F295" s="3"/>
      <c r="G295" s="3" t="s">
        <v>278</v>
      </c>
      <c r="H295" s="3" t="s">
        <v>278</v>
      </c>
      <c r="I295" s="3">
        <v>0.2</v>
      </c>
    </row>
    <row r="296" spans="1:9">
      <c r="A296" s="2" t="s">
        <v>329</v>
      </c>
      <c r="B296" s="2">
        <v>2000000</v>
      </c>
      <c r="C296" s="2" t="s">
        <v>16</v>
      </c>
      <c r="D296" s="2">
        <v>0</v>
      </c>
      <c r="E296" s="2">
        <v>1</v>
      </c>
      <c r="F296" s="2"/>
      <c r="G296" s="2" t="s">
        <v>278</v>
      </c>
      <c r="H296" s="2" t="s">
        <v>278</v>
      </c>
      <c r="I296" s="2">
        <v>0.2</v>
      </c>
    </row>
    <row r="297" spans="1:9">
      <c r="A297" s="3" t="s">
        <v>330</v>
      </c>
      <c r="B297" s="3">
        <v>2000000</v>
      </c>
      <c r="C297" s="3" t="s">
        <v>16</v>
      </c>
      <c r="D297" s="3">
        <v>0</v>
      </c>
      <c r="E297" s="3">
        <v>1</v>
      </c>
      <c r="F297" s="3"/>
      <c r="G297" s="3" t="s">
        <v>278</v>
      </c>
      <c r="H297" s="3" t="s">
        <v>278</v>
      </c>
      <c r="I297" s="3">
        <v>0.2</v>
      </c>
    </row>
    <row r="298" spans="1:9">
      <c r="A298" s="2" t="s">
        <v>331</v>
      </c>
      <c r="B298" s="2">
        <v>2000000</v>
      </c>
      <c r="C298" s="2" t="s">
        <v>16</v>
      </c>
      <c r="D298" s="2">
        <v>0</v>
      </c>
      <c r="E298" s="2">
        <v>1</v>
      </c>
      <c r="F298" s="2"/>
      <c r="G298" s="2" t="s">
        <v>278</v>
      </c>
      <c r="H298" s="2" t="s">
        <v>278</v>
      </c>
      <c r="I298" s="2">
        <v>0.2</v>
      </c>
    </row>
    <row r="299" spans="1:9">
      <c r="A299" s="3" t="s">
        <v>332</v>
      </c>
      <c r="B299" s="3">
        <v>4000000</v>
      </c>
      <c r="C299" s="3" t="s">
        <v>16</v>
      </c>
      <c r="D299" s="3">
        <v>0</v>
      </c>
      <c r="E299" s="3">
        <v>1</v>
      </c>
      <c r="F299" s="3"/>
      <c r="G299" s="3" t="s">
        <v>278</v>
      </c>
      <c r="H299" s="3" t="s">
        <v>278</v>
      </c>
      <c r="I299" s="3">
        <v>0.4</v>
      </c>
    </row>
    <row r="300" spans="1:9">
      <c r="A300" s="2" t="s">
        <v>333</v>
      </c>
      <c r="B300" s="2">
        <v>3000000</v>
      </c>
      <c r="C300" s="2" t="s">
        <v>16</v>
      </c>
      <c r="D300" s="2">
        <v>0</v>
      </c>
      <c r="E300" s="2">
        <v>1</v>
      </c>
      <c r="F300" s="2"/>
      <c r="G300" s="2" t="s">
        <v>278</v>
      </c>
      <c r="H300" s="2" t="s">
        <v>278</v>
      </c>
      <c r="I300" s="2">
        <v>0.3</v>
      </c>
    </row>
    <row r="301" spans="1:9">
      <c r="A301" s="3" t="s">
        <v>334</v>
      </c>
      <c r="B301" s="3">
        <v>2000000</v>
      </c>
      <c r="C301" s="3" t="s">
        <v>23</v>
      </c>
      <c r="D301" s="3">
        <v>0</v>
      </c>
      <c r="E301" s="3">
        <v>1</v>
      </c>
      <c r="F301" s="3"/>
      <c r="G301" s="3" t="s">
        <v>278</v>
      </c>
      <c r="H301" s="3" t="s">
        <v>278</v>
      </c>
      <c r="I301" s="3">
        <v>0.2</v>
      </c>
    </row>
    <row r="302" spans="1:9">
      <c r="A302" s="2" t="s">
        <v>335</v>
      </c>
      <c r="B302" s="2">
        <v>2000000</v>
      </c>
      <c r="C302" s="2" t="s">
        <v>23</v>
      </c>
      <c r="D302" s="2">
        <v>0</v>
      </c>
      <c r="E302" s="2">
        <v>1</v>
      </c>
      <c r="F302" s="2"/>
      <c r="G302" s="2" t="s">
        <v>278</v>
      </c>
      <c r="H302" s="2" t="s">
        <v>278</v>
      </c>
      <c r="I302" s="2">
        <v>0.2</v>
      </c>
    </row>
    <row r="303" spans="1:9">
      <c r="A303" s="3" t="s">
        <v>336</v>
      </c>
      <c r="B303" s="3">
        <v>2000000</v>
      </c>
      <c r="C303" s="3" t="s">
        <v>23</v>
      </c>
      <c r="D303" s="3">
        <v>0</v>
      </c>
      <c r="E303" s="3">
        <v>1</v>
      </c>
      <c r="F303" s="3"/>
      <c r="G303" s="3" t="s">
        <v>278</v>
      </c>
      <c r="H303" s="3" t="s">
        <v>278</v>
      </c>
      <c r="I303" s="3">
        <v>0.2</v>
      </c>
    </row>
    <row r="304" spans="1:9">
      <c r="A304" s="2" t="s">
        <v>337</v>
      </c>
      <c r="B304" s="2">
        <v>2000000</v>
      </c>
      <c r="C304" s="2" t="s">
        <v>23</v>
      </c>
      <c r="D304" s="2">
        <v>0</v>
      </c>
      <c r="E304" s="2">
        <v>1</v>
      </c>
      <c r="F304" s="2"/>
      <c r="G304" s="2" t="s">
        <v>278</v>
      </c>
      <c r="H304" s="2" t="s">
        <v>278</v>
      </c>
      <c r="I304" s="2">
        <v>0.2</v>
      </c>
    </row>
    <row r="305" spans="1:9">
      <c r="A305" s="3" t="s">
        <v>338</v>
      </c>
      <c r="B305" s="3">
        <v>2000000</v>
      </c>
      <c r="C305" s="3" t="s">
        <v>23</v>
      </c>
      <c r="D305" s="3">
        <v>0</v>
      </c>
      <c r="E305" s="3">
        <v>1</v>
      </c>
      <c r="F305" s="3" t="s">
        <v>17</v>
      </c>
      <c r="G305" s="3" t="s">
        <v>278</v>
      </c>
      <c r="H305" s="3" t="s">
        <v>278</v>
      </c>
      <c r="I305" s="3">
        <v>0.2</v>
      </c>
    </row>
    <row r="306" spans="1:9">
      <c r="A306" s="2" t="s">
        <v>339</v>
      </c>
      <c r="B306" s="2">
        <v>2000000</v>
      </c>
      <c r="C306" s="2" t="s">
        <v>19</v>
      </c>
      <c r="D306" s="2">
        <v>0</v>
      </c>
      <c r="E306" s="2">
        <v>1</v>
      </c>
      <c r="F306" s="2"/>
      <c r="G306" s="2" t="s">
        <v>278</v>
      </c>
      <c r="H306" s="2" t="s">
        <v>278</v>
      </c>
      <c r="I306" s="2">
        <v>0.2</v>
      </c>
    </row>
    <row r="307" spans="1:9">
      <c r="A307" s="3" t="s">
        <v>340</v>
      </c>
      <c r="B307" s="3">
        <v>2000000</v>
      </c>
      <c r="C307" s="3" t="s">
        <v>19</v>
      </c>
      <c r="D307" s="3">
        <v>0</v>
      </c>
      <c r="E307" s="3">
        <v>1</v>
      </c>
      <c r="F307" s="3" t="s">
        <v>11</v>
      </c>
      <c r="G307" s="3" t="s">
        <v>278</v>
      </c>
      <c r="H307" s="3" t="s">
        <v>278</v>
      </c>
      <c r="I307" s="3">
        <v>0.2</v>
      </c>
    </row>
    <row r="308" spans="1:9">
      <c r="A308" s="2" t="s">
        <v>341</v>
      </c>
      <c r="B308" s="2">
        <v>2000000</v>
      </c>
      <c r="C308" s="2" t="s">
        <v>19</v>
      </c>
      <c r="D308" s="2">
        <v>0</v>
      </c>
      <c r="E308" s="2">
        <v>1</v>
      </c>
      <c r="F308" s="2" t="s">
        <v>11</v>
      </c>
      <c r="G308" s="2" t="s">
        <v>278</v>
      </c>
      <c r="H308" s="2" t="s">
        <v>278</v>
      </c>
      <c r="I308" s="2">
        <v>0.2</v>
      </c>
    </row>
    <row r="309" spans="1:9">
      <c r="A309" s="3" t="s">
        <v>342</v>
      </c>
      <c r="B309" s="3">
        <v>2000000</v>
      </c>
      <c r="C309" s="3" t="s">
        <v>19</v>
      </c>
      <c r="D309" s="3">
        <v>0</v>
      </c>
      <c r="E309" s="3">
        <v>1</v>
      </c>
      <c r="F309" s="3" t="s">
        <v>148</v>
      </c>
      <c r="G309" s="3" t="s">
        <v>278</v>
      </c>
      <c r="H309" s="3" t="s">
        <v>278</v>
      </c>
      <c r="I309" s="3">
        <v>0.2</v>
      </c>
    </row>
    <row r="310" spans="1:9">
      <c r="A310" s="2" t="s">
        <v>343</v>
      </c>
      <c r="B310" s="2">
        <v>2000000</v>
      </c>
      <c r="C310" s="2" t="s">
        <v>19</v>
      </c>
      <c r="D310" s="2">
        <v>0</v>
      </c>
      <c r="E310" s="2">
        <v>1</v>
      </c>
      <c r="F310" s="2"/>
      <c r="G310" s="2" t="s">
        <v>278</v>
      </c>
      <c r="H310" s="2" t="s">
        <v>278</v>
      </c>
      <c r="I310" s="2">
        <v>0.2</v>
      </c>
    </row>
    <row r="311" spans="1:9">
      <c r="A311" s="3" t="s">
        <v>344</v>
      </c>
      <c r="B311" s="3">
        <v>2000000</v>
      </c>
      <c r="C311" s="3" t="s">
        <v>19</v>
      </c>
      <c r="D311" s="3">
        <v>0</v>
      </c>
      <c r="E311" s="3">
        <v>1</v>
      </c>
      <c r="F311" s="3" t="s">
        <v>206</v>
      </c>
      <c r="G311" s="3" t="s">
        <v>278</v>
      </c>
      <c r="H311" s="3" t="s">
        <v>278</v>
      </c>
      <c r="I311" s="3">
        <v>0.2</v>
      </c>
    </row>
    <row r="312" spans="1:9">
      <c r="A312" s="2" t="s">
        <v>345</v>
      </c>
      <c r="B312" s="2">
        <v>2000000</v>
      </c>
      <c r="C312" s="2" t="s">
        <v>19</v>
      </c>
      <c r="D312" s="2">
        <v>0</v>
      </c>
      <c r="E312" s="2">
        <v>1</v>
      </c>
      <c r="F312" s="2"/>
      <c r="G312" s="2" t="s">
        <v>278</v>
      </c>
      <c r="H312" s="2" t="s">
        <v>278</v>
      </c>
      <c r="I312" s="2">
        <v>0.2</v>
      </c>
    </row>
    <row r="313" spans="1:9">
      <c r="A313" s="3" t="s">
        <v>346</v>
      </c>
      <c r="B313" s="3">
        <v>3000000</v>
      </c>
      <c r="C313" s="3" t="s">
        <v>10</v>
      </c>
      <c r="D313" s="3">
        <v>0</v>
      </c>
      <c r="E313" s="3">
        <v>1</v>
      </c>
      <c r="F313" s="3"/>
      <c r="G313" s="3" t="s">
        <v>278</v>
      </c>
      <c r="H313" s="3" t="s">
        <v>278</v>
      </c>
      <c r="I313" s="3">
        <v>0.3</v>
      </c>
    </row>
    <row r="314" spans="1:9">
      <c r="A314" s="2" t="s">
        <v>347</v>
      </c>
      <c r="B314" s="2">
        <v>2000000</v>
      </c>
      <c r="C314" s="2" t="s">
        <v>10</v>
      </c>
      <c r="D314" s="2">
        <v>0</v>
      </c>
      <c r="E314" s="2">
        <v>1</v>
      </c>
      <c r="F314" s="2"/>
      <c r="G314" s="2" t="s">
        <v>278</v>
      </c>
      <c r="H314" s="2" t="s">
        <v>278</v>
      </c>
      <c r="I314" s="2">
        <v>0.2</v>
      </c>
    </row>
    <row r="315" spans="1:9">
      <c r="A315" s="3" t="s">
        <v>348</v>
      </c>
      <c r="B315" s="3">
        <v>2000000</v>
      </c>
      <c r="C315" s="3" t="s">
        <v>10</v>
      </c>
      <c r="D315" s="3">
        <v>0</v>
      </c>
      <c r="E315" s="3">
        <v>1</v>
      </c>
      <c r="F315" s="3" t="s">
        <v>17</v>
      </c>
      <c r="G315" s="3" t="s">
        <v>278</v>
      </c>
      <c r="H315" s="3" t="s">
        <v>278</v>
      </c>
      <c r="I315" s="3">
        <v>0.2</v>
      </c>
    </row>
    <row r="316" spans="1:9">
      <c r="A316" s="2" t="s">
        <v>349</v>
      </c>
      <c r="B316" s="2">
        <v>2000000</v>
      </c>
      <c r="C316" s="2" t="s">
        <v>10</v>
      </c>
      <c r="D316" s="2">
        <v>0</v>
      </c>
      <c r="E316" s="2">
        <v>1</v>
      </c>
      <c r="F316" s="2"/>
      <c r="G316" s="2" t="s">
        <v>278</v>
      </c>
      <c r="H316" s="2" t="s">
        <v>278</v>
      </c>
      <c r="I316" s="2">
        <v>0.2</v>
      </c>
    </row>
    <row r="317" spans="1:9">
      <c r="A317" s="3" t="s">
        <v>350</v>
      </c>
      <c r="B317" s="3">
        <v>2000000</v>
      </c>
      <c r="C317" s="3" t="s">
        <v>10</v>
      </c>
      <c r="D317" s="3">
        <v>0</v>
      </c>
      <c r="E317" s="3">
        <v>1</v>
      </c>
      <c r="F317" s="3" t="s">
        <v>24</v>
      </c>
      <c r="G317" s="3" t="s">
        <v>278</v>
      </c>
      <c r="H317" s="3" t="s">
        <v>278</v>
      </c>
      <c r="I317" s="3">
        <v>0.2</v>
      </c>
    </row>
    <row r="318" spans="1:9">
      <c r="A318" s="2" t="s">
        <v>351</v>
      </c>
      <c r="B318" s="2">
        <v>2000000</v>
      </c>
      <c r="C318" s="2" t="s">
        <v>10</v>
      </c>
      <c r="D318" s="2">
        <v>0</v>
      </c>
      <c r="E318" s="2">
        <v>1</v>
      </c>
      <c r="F318" s="2"/>
      <c r="G318" s="2" t="s">
        <v>278</v>
      </c>
      <c r="H318" s="2" t="s">
        <v>278</v>
      </c>
      <c r="I318" s="2">
        <v>0.2</v>
      </c>
    </row>
    <row r="319" spans="1:9">
      <c r="A319" s="3" t="s">
        <v>352</v>
      </c>
      <c r="B319" s="3">
        <v>2000000</v>
      </c>
      <c r="C319" s="3" t="s">
        <v>10</v>
      </c>
      <c r="D319" s="3">
        <v>0</v>
      </c>
      <c r="E319" s="3">
        <v>1</v>
      </c>
      <c r="F319" s="3" t="s">
        <v>148</v>
      </c>
      <c r="G319" s="3" t="s">
        <v>278</v>
      </c>
      <c r="H319" s="3" t="s">
        <v>278</v>
      </c>
      <c r="I319" s="3">
        <v>0.2</v>
      </c>
    </row>
    <row r="320" spans="1:9">
      <c r="A320" s="2" t="s">
        <v>353</v>
      </c>
      <c r="B320" s="2">
        <v>2000000</v>
      </c>
      <c r="C320" s="2" t="s">
        <v>10</v>
      </c>
      <c r="D320" s="2">
        <v>0</v>
      </c>
      <c r="E320" s="2">
        <v>1</v>
      </c>
      <c r="F320" s="2"/>
      <c r="G320" s="2" t="s">
        <v>278</v>
      </c>
      <c r="H320" s="2" t="s">
        <v>278</v>
      </c>
      <c r="I320" s="2">
        <v>0.2</v>
      </c>
    </row>
    <row r="321" spans="1:9">
      <c r="A321" s="3" t="s">
        <v>354</v>
      </c>
      <c r="B321" s="3">
        <v>2000000</v>
      </c>
      <c r="C321" s="3" t="s">
        <v>10</v>
      </c>
      <c r="D321" s="3">
        <v>0</v>
      </c>
      <c r="E321" s="3">
        <v>1</v>
      </c>
      <c r="F321" s="3"/>
      <c r="G321" s="3" t="s">
        <v>278</v>
      </c>
      <c r="H321" s="3" t="s">
        <v>278</v>
      </c>
      <c r="I321" s="3">
        <v>0.2</v>
      </c>
    </row>
    <row r="322" spans="1:9">
      <c r="A322" s="2" t="s">
        <v>355</v>
      </c>
      <c r="B322" s="2">
        <v>2000000</v>
      </c>
      <c r="C322" s="2" t="s">
        <v>10</v>
      </c>
      <c r="D322" s="2">
        <v>0</v>
      </c>
      <c r="E322" s="2">
        <v>1</v>
      </c>
      <c r="F322" s="2"/>
      <c r="G322" s="2" t="s">
        <v>278</v>
      </c>
      <c r="H322" s="2" t="s">
        <v>278</v>
      </c>
      <c r="I322" s="2">
        <v>0.2</v>
      </c>
    </row>
    <row r="323" spans="1:9">
      <c r="A323" s="3" t="s">
        <v>356</v>
      </c>
      <c r="B323" s="3">
        <v>2000000</v>
      </c>
      <c r="C323" s="3" t="s">
        <v>10</v>
      </c>
      <c r="D323" s="3">
        <v>0</v>
      </c>
      <c r="E323" s="3">
        <v>1</v>
      </c>
      <c r="F323" s="3"/>
      <c r="G323" s="3" t="s">
        <v>278</v>
      </c>
      <c r="H323" s="3" t="s">
        <v>278</v>
      </c>
      <c r="I323" s="3">
        <v>0.2</v>
      </c>
    </row>
    <row r="324" spans="1:9">
      <c r="A324" s="2" t="s">
        <v>357</v>
      </c>
      <c r="B324" s="2">
        <v>2000000</v>
      </c>
      <c r="C324" s="2" t="s">
        <v>10</v>
      </c>
      <c r="D324" s="2">
        <v>0</v>
      </c>
      <c r="E324" s="2">
        <v>1</v>
      </c>
      <c r="F324" s="2" t="s">
        <v>235</v>
      </c>
      <c r="G324" s="2" t="s">
        <v>278</v>
      </c>
      <c r="H324" s="2" t="s">
        <v>278</v>
      </c>
      <c r="I324" s="2">
        <v>0.2</v>
      </c>
    </row>
    <row r="325" spans="1:9">
      <c r="A325" s="3" t="s">
        <v>358</v>
      </c>
      <c r="B325" s="3">
        <v>2000000</v>
      </c>
      <c r="C325" s="3" t="s">
        <v>10</v>
      </c>
      <c r="D325" s="3">
        <v>0</v>
      </c>
      <c r="E325" s="3">
        <v>1</v>
      </c>
      <c r="F325" s="3"/>
      <c r="G325" s="3" t="s">
        <v>278</v>
      </c>
      <c r="H325" s="3" t="s">
        <v>278</v>
      </c>
      <c r="I325" s="3">
        <v>0.2</v>
      </c>
    </row>
    <row r="326" spans="1:9">
      <c r="A326" s="2" t="s">
        <v>359</v>
      </c>
      <c r="B326" s="2">
        <v>2000000</v>
      </c>
      <c r="C326" s="2" t="s">
        <v>10</v>
      </c>
      <c r="D326" s="2">
        <v>0</v>
      </c>
      <c r="E326" s="2">
        <v>1</v>
      </c>
      <c r="F326" s="2"/>
      <c r="G326" s="2" t="s">
        <v>278</v>
      </c>
      <c r="H326" s="2" t="s">
        <v>278</v>
      </c>
      <c r="I326" s="2">
        <v>0.2</v>
      </c>
    </row>
    <row r="327" spans="1:9">
      <c r="A327" s="3" t="s">
        <v>360</v>
      </c>
      <c r="B327" s="3">
        <v>2000000</v>
      </c>
      <c r="C327" s="3" t="s">
        <v>10</v>
      </c>
      <c r="D327" s="3">
        <v>0</v>
      </c>
      <c r="E327" s="3">
        <v>1</v>
      </c>
      <c r="F327" s="3"/>
      <c r="G327" s="3" t="s">
        <v>278</v>
      </c>
      <c r="H327" s="3" t="s">
        <v>278</v>
      </c>
      <c r="I327" s="3">
        <v>0.2</v>
      </c>
    </row>
    <row r="328" spans="1:9">
      <c r="A328" s="2" t="s">
        <v>361</v>
      </c>
      <c r="B328" s="2">
        <v>2000000</v>
      </c>
      <c r="C328" s="2" t="s">
        <v>10</v>
      </c>
      <c r="D328" s="2">
        <v>0</v>
      </c>
      <c r="E328" s="2">
        <v>1</v>
      </c>
      <c r="F328" s="2"/>
      <c r="G328" s="2" t="s">
        <v>278</v>
      </c>
      <c r="H328" s="2" t="s">
        <v>278</v>
      </c>
      <c r="I328" s="2">
        <v>0.2</v>
      </c>
    </row>
    <row r="329" spans="1:9">
      <c r="A329" s="3" t="s">
        <v>362</v>
      </c>
      <c r="B329" s="3">
        <v>5000000</v>
      </c>
      <c r="C329" s="3" t="s">
        <v>16</v>
      </c>
      <c r="D329" s="3">
        <v>0</v>
      </c>
      <c r="E329" s="3">
        <v>1</v>
      </c>
      <c r="F329" s="3"/>
      <c r="G329" s="3" t="s">
        <v>278</v>
      </c>
      <c r="H329" s="3" t="s">
        <v>278</v>
      </c>
      <c r="I329" s="3">
        <v>0.5</v>
      </c>
    </row>
    <row r="330" spans="1:9">
      <c r="A330" s="2" t="s">
        <v>363</v>
      </c>
      <c r="B330" s="2">
        <v>5000000</v>
      </c>
      <c r="C330" s="2" t="s">
        <v>16</v>
      </c>
      <c r="D330" s="2">
        <v>0</v>
      </c>
      <c r="E330" s="2">
        <v>1</v>
      </c>
      <c r="F330" s="2"/>
      <c r="G330" s="2" t="s">
        <v>278</v>
      </c>
      <c r="H330" s="2" t="s">
        <v>278</v>
      </c>
      <c r="I330" s="2">
        <v>0.5</v>
      </c>
    </row>
    <row r="331" spans="1:9">
      <c r="A331" s="3" t="s">
        <v>364</v>
      </c>
      <c r="B331" s="3">
        <v>5000000</v>
      </c>
      <c r="C331" s="3" t="s">
        <v>16</v>
      </c>
      <c r="D331" s="3">
        <v>0</v>
      </c>
      <c r="E331" s="3">
        <v>1</v>
      </c>
      <c r="F331" s="3"/>
      <c r="G331" s="3" t="s">
        <v>278</v>
      </c>
      <c r="H331" s="3" t="s">
        <v>278</v>
      </c>
      <c r="I331" s="3">
        <v>0.5</v>
      </c>
    </row>
    <row r="332" spans="1:9">
      <c r="A332" s="2" t="s">
        <v>365</v>
      </c>
      <c r="B332" s="2">
        <v>20000000</v>
      </c>
      <c r="C332" s="2" t="s">
        <v>16</v>
      </c>
      <c r="D332" s="2">
        <v>0</v>
      </c>
      <c r="E332" s="2">
        <v>1</v>
      </c>
      <c r="F332" s="2"/>
      <c r="G332" s="2" t="s">
        <v>278</v>
      </c>
      <c r="H332" s="2" t="s">
        <v>278</v>
      </c>
      <c r="I332" s="2">
        <v>2</v>
      </c>
    </row>
    <row r="333" spans="1:9">
      <c r="A333" s="3" t="s">
        <v>366</v>
      </c>
      <c r="B333" s="3">
        <v>5000000</v>
      </c>
      <c r="C333" s="3" t="s">
        <v>16</v>
      </c>
      <c r="D333" s="3">
        <v>0</v>
      </c>
      <c r="E333" s="3">
        <v>1</v>
      </c>
      <c r="F333" s="3" t="s">
        <v>235</v>
      </c>
      <c r="G333" s="3" t="s">
        <v>278</v>
      </c>
      <c r="H333" s="3" t="s">
        <v>278</v>
      </c>
      <c r="I333" s="3">
        <v>0.5</v>
      </c>
    </row>
    <row r="334" spans="1:9">
      <c r="A334" s="2" t="s">
        <v>367</v>
      </c>
      <c r="B334" s="2">
        <v>5000000</v>
      </c>
      <c r="C334" s="2" t="s">
        <v>16</v>
      </c>
      <c r="D334" s="2">
        <v>0</v>
      </c>
      <c r="E334" s="2">
        <v>1</v>
      </c>
      <c r="F334" s="2"/>
      <c r="G334" s="2" t="s">
        <v>278</v>
      </c>
      <c r="H334" s="2" t="s">
        <v>278</v>
      </c>
      <c r="I334" s="2">
        <v>0.5</v>
      </c>
    </row>
    <row r="335" spans="1:9">
      <c r="A335" s="3" t="s">
        <v>368</v>
      </c>
      <c r="B335" s="3">
        <v>1500000</v>
      </c>
      <c r="C335" s="3" t="s">
        <v>16</v>
      </c>
      <c r="D335" s="3">
        <v>0</v>
      </c>
      <c r="E335" s="3">
        <v>1</v>
      </c>
      <c r="F335" s="3" t="s">
        <v>27</v>
      </c>
      <c r="G335" s="3" t="s">
        <v>278</v>
      </c>
      <c r="H335" s="3" t="s">
        <v>278</v>
      </c>
      <c r="I335" s="3">
        <v>0.15</v>
      </c>
    </row>
    <row r="336" spans="1:9">
      <c r="A336" s="2" t="s">
        <v>369</v>
      </c>
      <c r="B336" s="2">
        <v>5000000</v>
      </c>
      <c r="C336" s="2" t="s">
        <v>16</v>
      </c>
      <c r="D336" s="2">
        <v>0</v>
      </c>
      <c r="E336" s="2">
        <v>1</v>
      </c>
      <c r="F336" s="2" t="s">
        <v>27</v>
      </c>
      <c r="G336" s="2" t="s">
        <v>278</v>
      </c>
      <c r="H336" s="2" t="s">
        <v>278</v>
      </c>
      <c r="I336" s="2">
        <v>0.5</v>
      </c>
    </row>
    <row r="337" spans="1:9">
      <c r="A337" s="3" t="s">
        <v>370</v>
      </c>
      <c r="B337" s="3">
        <v>5000000</v>
      </c>
      <c r="C337" s="3" t="s">
        <v>16</v>
      </c>
      <c r="D337" s="3">
        <v>0</v>
      </c>
      <c r="E337" s="3">
        <v>1</v>
      </c>
      <c r="F337" s="3"/>
      <c r="G337" s="3" t="s">
        <v>278</v>
      </c>
      <c r="H337" s="3" t="s">
        <v>278</v>
      </c>
      <c r="I337" s="3">
        <v>0.5</v>
      </c>
    </row>
    <row r="338" spans="1:9">
      <c r="A338" s="2" t="s">
        <v>371</v>
      </c>
      <c r="B338" s="2">
        <v>5000000</v>
      </c>
      <c r="C338" s="2" t="s">
        <v>16</v>
      </c>
      <c r="D338" s="2">
        <v>0</v>
      </c>
      <c r="E338" s="2">
        <v>1</v>
      </c>
      <c r="F338" s="2"/>
      <c r="G338" s="2" t="s">
        <v>278</v>
      </c>
      <c r="H338" s="2" t="s">
        <v>278</v>
      </c>
      <c r="I338" s="2">
        <v>0.5</v>
      </c>
    </row>
    <row r="339" spans="1:9">
      <c r="A339" s="3" t="s">
        <v>372</v>
      </c>
      <c r="B339" s="3">
        <v>1500000</v>
      </c>
      <c r="C339" s="3" t="s">
        <v>23</v>
      </c>
      <c r="D339" s="3">
        <v>0</v>
      </c>
      <c r="E339" s="3">
        <v>1</v>
      </c>
      <c r="F339" s="3" t="s">
        <v>17</v>
      </c>
      <c r="G339" s="3" t="s">
        <v>278</v>
      </c>
      <c r="H339" s="3" t="s">
        <v>278</v>
      </c>
      <c r="I339" s="3">
        <v>0.15</v>
      </c>
    </row>
    <row r="340" spans="1:9">
      <c r="A340" s="2" t="s">
        <v>373</v>
      </c>
      <c r="B340" s="2">
        <v>5000000</v>
      </c>
      <c r="C340" s="2" t="s">
        <v>23</v>
      </c>
      <c r="D340" s="2">
        <v>0</v>
      </c>
      <c r="E340" s="2">
        <v>1</v>
      </c>
      <c r="F340" s="2"/>
      <c r="G340" s="2" t="s">
        <v>278</v>
      </c>
      <c r="H340" s="2" t="s">
        <v>278</v>
      </c>
      <c r="I340" s="2">
        <v>0.5</v>
      </c>
    </row>
    <row r="341" spans="1:9">
      <c r="A341" s="3" t="s">
        <v>374</v>
      </c>
      <c r="B341" s="3">
        <v>5000000</v>
      </c>
      <c r="C341" s="3" t="s">
        <v>23</v>
      </c>
      <c r="D341" s="3">
        <v>0</v>
      </c>
      <c r="E341" s="3">
        <v>1</v>
      </c>
      <c r="F341" s="3"/>
      <c r="G341" s="3" t="s">
        <v>278</v>
      </c>
      <c r="H341" s="3" t="s">
        <v>278</v>
      </c>
      <c r="I341" s="3">
        <v>0.5</v>
      </c>
    </row>
    <row r="342" spans="1:9">
      <c r="A342" s="2" t="s">
        <v>375</v>
      </c>
      <c r="B342" s="2">
        <v>10000000</v>
      </c>
      <c r="C342" s="2" t="s">
        <v>23</v>
      </c>
      <c r="D342" s="2">
        <v>0</v>
      </c>
      <c r="E342" s="2">
        <v>1</v>
      </c>
      <c r="F342" s="2"/>
      <c r="G342" s="2" t="s">
        <v>278</v>
      </c>
      <c r="H342" s="2" t="s">
        <v>278</v>
      </c>
      <c r="I342" s="2">
        <v>1</v>
      </c>
    </row>
    <row r="343" spans="1:9">
      <c r="A343" s="3" t="s">
        <v>376</v>
      </c>
      <c r="B343" s="3">
        <v>5000000</v>
      </c>
      <c r="C343" s="3" t="s">
        <v>23</v>
      </c>
      <c r="D343" s="3">
        <v>0</v>
      </c>
      <c r="E343" s="3">
        <v>1</v>
      </c>
      <c r="F343" s="3" t="s">
        <v>27</v>
      </c>
      <c r="G343" s="3" t="s">
        <v>278</v>
      </c>
      <c r="H343" s="3" t="s">
        <v>278</v>
      </c>
      <c r="I343" s="3">
        <v>0.5</v>
      </c>
    </row>
    <row r="344" spans="1:9">
      <c r="A344" s="2" t="s">
        <v>377</v>
      </c>
      <c r="B344" s="2">
        <v>5000000</v>
      </c>
      <c r="C344" s="2" t="s">
        <v>23</v>
      </c>
      <c r="D344" s="2">
        <v>0</v>
      </c>
      <c r="E344" s="2">
        <v>1</v>
      </c>
      <c r="F344" s="2"/>
      <c r="G344" s="2" t="s">
        <v>278</v>
      </c>
      <c r="H344" s="2" t="s">
        <v>278</v>
      </c>
      <c r="I344" s="2">
        <v>0.5</v>
      </c>
    </row>
    <row r="345" spans="1:9">
      <c r="A345" s="3" t="s">
        <v>378</v>
      </c>
      <c r="B345" s="3">
        <v>5000000</v>
      </c>
      <c r="C345" s="3" t="s">
        <v>23</v>
      </c>
      <c r="D345" s="3">
        <v>0</v>
      </c>
      <c r="E345" s="3">
        <v>1</v>
      </c>
      <c r="F345" s="3" t="s">
        <v>11</v>
      </c>
      <c r="G345" s="3" t="s">
        <v>278</v>
      </c>
      <c r="H345" s="3" t="s">
        <v>278</v>
      </c>
      <c r="I345" s="3">
        <v>0.5</v>
      </c>
    </row>
    <row r="346" spans="1:9">
      <c r="A346" s="2" t="s">
        <v>379</v>
      </c>
      <c r="B346" s="2">
        <v>20000000</v>
      </c>
      <c r="C346" s="2" t="s">
        <v>23</v>
      </c>
      <c r="D346" s="2">
        <v>0</v>
      </c>
      <c r="E346" s="2">
        <v>1</v>
      </c>
      <c r="F346" s="2"/>
      <c r="G346" s="2" t="s">
        <v>278</v>
      </c>
      <c r="H346" s="2" t="s">
        <v>278</v>
      </c>
      <c r="I346" s="2">
        <v>2</v>
      </c>
    </row>
    <row r="347" spans="1:9">
      <c r="A347" s="3" t="s">
        <v>380</v>
      </c>
      <c r="B347" s="3">
        <v>5000000</v>
      </c>
      <c r="C347" s="3" t="s">
        <v>23</v>
      </c>
      <c r="D347" s="3">
        <v>0</v>
      </c>
      <c r="E347" s="3">
        <v>1</v>
      </c>
      <c r="F347" s="3"/>
      <c r="G347" s="3" t="s">
        <v>278</v>
      </c>
      <c r="H347" s="3" t="s">
        <v>278</v>
      </c>
      <c r="I347" s="3">
        <v>0.5</v>
      </c>
    </row>
    <row r="348" spans="1:9">
      <c r="A348" s="2" t="s">
        <v>381</v>
      </c>
      <c r="B348" s="2">
        <v>5000000</v>
      </c>
      <c r="C348" s="2" t="s">
        <v>10</v>
      </c>
      <c r="D348" s="2">
        <v>0</v>
      </c>
      <c r="E348" s="2">
        <v>1</v>
      </c>
      <c r="F348" s="2"/>
      <c r="G348" s="2" t="s">
        <v>278</v>
      </c>
      <c r="H348" s="2" t="s">
        <v>278</v>
      </c>
      <c r="I348" s="2">
        <v>0.5</v>
      </c>
    </row>
    <row r="349" spans="1:9">
      <c r="A349" s="3" t="s">
        <v>382</v>
      </c>
      <c r="B349" s="3">
        <v>5000000</v>
      </c>
      <c r="C349" s="3" t="s">
        <v>10</v>
      </c>
      <c r="D349" s="3">
        <v>0</v>
      </c>
      <c r="E349" s="3">
        <v>1</v>
      </c>
      <c r="F349" s="3"/>
      <c r="G349" s="3" t="s">
        <v>278</v>
      </c>
      <c r="H349" s="3" t="s">
        <v>278</v>
      </c>
      <c r="I349" s="3">
        <v>0.5</v>
      </c>
    </row>
    <row r="350" spans="1:9">
      <c r="A350" s="2" t="s">
        <v>383</v>
      </c>
      <c r="B350" s="2">
        <v>5000000</v>
      </c>
      <c r="C350" s="2" t="s">
        <v>10</v>
      </c>
      <c r="D350" s="2">
        <v>0</v>
      </c>
      <c r="E350" s="2">
        <v>1</v>
      </c>
      <c r="F350" s="2"/>
      <c r="G350" s="2" t="s">
        <v>278</v>
      </c>
      <c r="H350" s="2" t="s">
        <v>278</v>
      </c>
      <c r="I350" s="2">
        <v>0.5</v>
      </c>
    </row>
    <row r="351" spans="1:9">
      <c r="A351" s="3" t="s">
        <v>384</v>
      </c>
      <c r="B351" s="3">
        <v>5000000</v>
      </c>
      <c r="C351" s="3" t="s">
        <v>10</v>
      </c>
      <c r="D351" s="3">
        <v>0</v>
      </c>
      <c r="E351" s="3">
        <v>1</v>
      </c>
      <c r="F351" s="3"/>
      <c r="G351" s="3" t="s">
        <v>278</v>
      </c>
      <c r="H351" s="3" t="s">
        <v>278</v>
      </c>
      <c r="I351" s="3">
        <v>0.5</v>
      </c>
    </row>
    <row r="352" spans="1:9">
      <c r="A352" s="2" t="s">
        <v>385</v>
      </c>
      <c r="B352" s="2">
        <v>5000000</v>
      </c>
      <c r="C352" s="2" t="s">
        <v>10</v>
      </c>
      <c r="D352" s="2">
        <v>0</v>
      </c>
      <c r="E352" s="2">
        <v>1</v>
      </c>
      <c r="F352" s="2"/>
      <c r="G352" s="2" t="s">
        <v>278</v>
      </c>
      <c r="H352" s="2" t="s">
        <v>278</v>
      </c>
      <c r="I352" s="2">
        <v>0.5</v>
      </c>
    </row>
    <row r="353" spans="1:9">
      <c r="A353" s="3" t="s">
        <v>386</v>
      </c>
      <c r="B353" s="3">
        <v>10000000</v>
      </c>
      <c r="C353" s="3" t="s">
        <v>10</v>
      </c>
      <c r="D353" s="3">
        <v>0</v>
      </c>
      <c r="E353" s="3">
        <v>1</v>
      </c>
      <c r="F353" s="3" t="s">
        <v>76</v>
      </c>
      <c r="G353" s="3" t="s">
        <v>278</v>
      </c>
      <c r="H353" s="3" t="s">
        <v>278</v>
      </c>
      <c r="I353" s="3">
        <v>1</v>
      </c>
    </row>
    <row r="354" spans="1:9">
      <c r="A354" s="2" t="s">
        <v>387</v>
      </c>
      <c r="B354" s="2">
        <v>10000000</v>
      </c>
      <c r="C354" s="2" t="s">
        <v>10</v>
      </c>
      <c r="D354" s="2">
        <v>0</v>
      </c>
      <c r="E354" s="2">
        <v>1</v>
      </c>
      <c r="F354" s="2"/>
      <c r="G354" s="2" t="s">
        <v>278</v>
      </c>
      <c r="H354" s="2" t="s">
        <v>278</v>
      </c>
      <c r="I354" s="2">
        <v>1</v>
      </c>
    </row>
    <row r="355" spans="1:9">
      <c r="A355" s="3" t="s">
        <v>388</v>
      </c>
      <c r="B355" s="3">
        <v>2000000</v>
      </c>
      <c r="C355" s="3" t="s">
        <v>16</v>
      </c>
      <c r="D355" s="3">
        <v>0</v>
      </c>
      <c r="E355" s="3">
        <v>1</v>
      </c>
      <c r="F355" s="3"/>
      <c r="G355" s="3" t="s">
        <v>278</v>
      </c>
      <c r="H355" s="3" t="s">
        <v>278</v>
      </c>
      <c r="I355" s="3">
        <v>0.2</v>
      </c>
    </row>
    <row r="356" spans="1:9">
      <c r="A356" s="2" t="s">
        <v>389</v>
      </c>
      <c r="B356" s="2">
        <v>2000000</v>
      </c>
      <c r="C356" s="2" t="s">
        <v>16</v>
      </c>
      <c r="D356" s="2">
        <v>0</v>
      </c>
      <c r="E356" s="2">
        <v>1</v>
      </c>
      <c r="F356" s="2"/>
      <c r="G356" s="2" t="s">
        <v>278</v>
      </c>
      <c r="H356" s="2" t="s">
        <v>278</v>
      </c>
      <c r="I356" s="2">
        <v>0.2</v>
      </c>
    </row>
    <row r="357" spans="1:9">
      <c r="A357" s="3" t="s">
        <v>390</v>
      </c>
      <c r="B357" s="3">
        <v>2000000</v>
      </c>
      <c r="C357" s="3" t="s">
        <v>16</v>
      </c>
      <c r="D357" s="3">
        <v>0</v>
      </c>
      <c r="E357" s="3">
        <v>1</v>
      </c>
      <c r="F357" s="3"/>
      <c r="G357" s="3" t="s">
        <v>278</v>
      </c>
      <c r="H357" s="3" t="s">
        <v>278</v>
      </c>
      <c r="I357" s="3">
        <v>0.2</v>
      </c>
    </row>
    <row r="358" spans="1:9">
      <c r="A358" s="2" t="s">
        <v>391</v>
      </c>
      <c r="B358" s="2">
        <v>2000000</v>
      </c>
      <c r="C358" s="2" t="s">
        <v>16</v>
      </c>
      <c r="D358" s="2">
        <v>0</v>
      </c>
      <c r="E358" s="2">
        <v>1</v>
      </c>
      <c r="F358" s="2"/>
      <c r="G358" s="2" t="s">
        <v>278</v>
      </c>
      <c r="H358" s="2" t="s">
        <v>278</v>
      </c>
      <c r="I358" s="2">
        <v>0.2</v>
      </c>
    </row>
    <row r="359" spans="1:9">
      <c r="A359" s="3" t="s">
        <v>392</v>
      </c>
      <c r="B359" s="3">
        <v>2000000</v>
      </c>
      <c r="C359" s="3" t="s">
        <v>16</v>
      </c>
      <c r="D359" s="3">
        <v>0</v>
      </c>
      <c r="E359" s="3">
        <v>1</v>
      </c>
      <c r="F359" s="3"/>
      <c r="G359" s="3" t="s">
        <v>278</v>
      </c>
      <c r="H359" s="3" t="s">
        <v>278</v>
      </c>
      <c r="I359" s="3">
        <v>0.2</v>
      </c>
    </row>
    <row r="360" spans="1:9">
      <c r="A360" s="2" t="s">
        <v>393</v>
      </c>
      <c r="B360" s="2">
        <v>2000000</v>
      </c>
      <c r="C360" s="2" t="s">
        <v>16</v>
      </c>
      <c r="D360" s="2">
        <v>0</v>
      </c>
      <c r="E360" s="2">
        <v>1</v>
      </c>
      <c r="F360" s="2" t="s">
        <v>51</v>
      </c>
      <c r="G360" s="2" t="s">
        <v>278</v>
      </c>
      <c r="H360" s="2" t="s">
        <v>278</v>
      </c>
      <c r="I360" s="2">
        <v>0.2</v>
      </c>
    </row>
    <row r="361" spans="1:9">
      <c r="A361" s="3" t="s">
        <v>394</v>
      </c>
      <c r="B361" s="3">
        <v>2000000</v>
      </c>
      <c r="C361" s="3" t="s">
        <v>16</v>
      </c>
      <c r="D361" s="3">
        <v>0</v>
      </c>
      <c r="E361" s="3">
        <v>1</v>
      </c>
      <c r="F361" s="3"/>
      <c r="G361" s="3" t="s">
        <v>278</v>
      </c>
      <c r="H361" s="3" t="s">
        <v>278</v>
      </c>
      <c r="I361" s="3">
        <v>0.2</v>
      </c>
    </row>
    <row r="362" spans="1:9">
      <c r="A362" s="2" t="s">
        <v>395</v>
      </c>
      <c r="B362" s="2">
        <v>2000000</v>
      </c>
      <c r="C362" s="2" t="s">
        <v>16</v>
      </c>
      <c r="D362" s="2">
        <v>0</v>
      </c>
      <c r="E362" s="2">
        <v>1</v>
      </c>
      <c r="F362" s="2"/>
      <c r="G362" s="2" t="s">
        <v>278</v>
      </c>
      <c r="H362" s="2" t="s">
        <v>278</v>
      </c>
      <c r="I362" s="2">
        <v>0.2</v>
      </c>
    </row>
    <row r="363" spans="1:9">
      <c r="A363" s="3" t="s">
        <v>396</v>
      </c>
      <c r="B363" s="3">
        <v>2000000</v>
      </c>
      <c r="C363" s="3" t="s">
        <v>16</v>
      </c>
      <c r="D363" s="3">
        <v>0</v>
      </c>
      <c r="E363" s="3">
        <v>1</v>
      </c>
      <c r="F363" s="3"/>
      <c r="G363" s="3" t="s">
        <v>278</v>
      </c>
      <c r="H363" s="3" t="s">
        <v>278</v>
      </c>
      <c r="I363" s="3">
        <v>0.2</v>
      </c>
    </row>
    <row r="364" spans="1:9">
      <c r="A364" s="2" t="s">
        <v>351</v>
      </c>
      <c r="B364" s="2">
        <v>2000000</v>
      </c>
      <c r="C364" s="2" t="s">
        <v>16</v>
      </c>
      <c r="D364" s="2">
        <v>0</v>
      </c>
      <c r="E364" s="2">
        <v>1</v>
      </c>
      <c r="F364" s="2"/>
      <c r="G364" s="2" t="s">
        <v>278</v>
      </c>
      <c r="H364" s="2" t="s">
        <v>278</v>
      </c>
      <c r="I364" s="2">
        <v>0.2</v>
      </c>
    </row>
    <row r="365" spans="1:9">
      <c r="A365" s="3" t="s">
        <v>397</v>
      </c>
      <c r="B365" s="3">
        <v>2000000</v>
      </c>
      <c r="C365" s="3" t="s">
        <v>23</v>
      </c>
      <c r="D365" s="3">
        <v>0</v>
      </c>
      <c r="E365" s="3">
        <v>1</v>
      </c>
      <c r="F365" s="3"/>
      <c r="G365" s="3" t="s">
        <v>278</v>
      </c>
      <c r="H365" s="3" t="s">
        <v>278</v>
      </c>
      <c r="I365" s="3">
        <v>0.2</v>
      </c>
    </row>
    <row r="366" spans="1:9">
      <c r="A366" s="2" t="s">
        <v>398</v>
      </c>
      <c r="B366" s="2">
        <v>2000000</v>
      </c>
      <c r="C366" s="2" t="s">
        <v>23</v>
      </c>
      <c r="D366" s="2">
        <v>0</v>
      </c>
      <c r="E366" s="2">
        <v>1</v>
      </c>
      <c r="F366" s="2"/>
      <c r="G366" s="2" t="s">
        <v>278</v>
      </c>
      <c r="H366" s="2" t="s">
        <v>278</v>
      </c>
      <c r="I366" s="2">
        <v>0.2</v>
      </c>
    </row>
    <row r="367" spans="1:9">
      <c r="A367" s="3" t="s">
        <v>399</v>
      </c>
      <c r="B367" s="3">
        <v>2000000</v>
      </c>
      <c r="C367" s="3" t="s">
        <v>23</v>
      </c>
      <c r="D367" s="3">
        <v>0</v>
      </c>
      <c r="E367" s="3">
        <v>1</v>
      </c>
      <c r="F367" s="3"/>
      <c r="G367" s="3" t="s">
        <v>278</v>
      </c>
      <c r="H367" s="3" t="s">
        <v>278</v>
      </c>
      <c r="I367" s="3">
        <v>0.2</v>
      </c>
    </row>
    <row r="368" spans="1:9">
      <c r="A368" s="2" t="s">
        <v>400</v>
      </c>
      <c r="B368" s="2">
        <v>2000000</v>
      </c>
      <c r="C368" s="2" t="s">
        <v>23</v>
      </c>
      <c r="D368" s="2">
        <v>0</v>
      </c>
      <c r="E368" s="2">
        <v>1</v>
      </c>
      <c r="F368" s="2"/>
      <c r="G368" s="2" t="s">
        <v>278</v>
      </c>
      <c r="H368" s="2" t="s">
        <v>278</v>
      </c>
      <c r="I368" s="2">
        <v>0.2</v>
      </c>
    </row>
    <row r="369" spans="1:9">
      <c r="A369" s="3" t="s">
        <v>401</v>
      </c>
      <c r="B369" s="3">
        <v>2000000</v>
      </c>
      <c r="C369" s="3" t="s">
        <v>23</v>
      </c>
      <c r="D369" s="3">
        <v>0</v>
      </c>
      <c r="E369" s="3">
        <v>1</v>
      </c>
      <c r="F369" s="3"/>
      <c r="G369" s="3" t="s">
        <v>278</v>
      </c>
      <c r="H369" s="3" t="s">
        <v>278</v>
      </c>
      <c r="I369" s="3">
        <v>0.2</v>
      </c>
    </row>
    <row r="370" spans="1:9">
      <c r="A370" s="2" t="s">
        <v>402</v>
      </c>
      <c r="B370" s="2">
        <v>2000000</v>
      </c>
      <c r="C370" s="2" t="s">
        <v>23</v>
      </c>
      <c r="D370" s="2">
        <v>0</v>
      </c>
      <c r="E370" s="2">
        <v>1</v>
      </c>
      <c r="F370" s="2"/>
      <c r="G370" s="2" t="s">
        <v>278</v>
      </c>
      <c r="H370" s="2" t="s">
        <v>278</v>
      </c>
      <c r="I370" s="2">
        <v>0.2</v>
      </c>
    </row>
    <row r="371" spans="1:9">
      <c r="A371" s="3" t="s">
        <v>403</v>
      </c>
      <c r="B371" s="3">
        <v>2000000</v>
      </c>
      <c r="C371" s="3" t="s">
        <v>23</v>
      </c>
      <c r="D371" s="3">
        <v>0</v>
      </c>
      <c r="E371" s="3">
        <v>1</v>
      </c>
      <c r="F371" s="3"/>
      <c r="G371" s="3" t="s">
        <v>278</v>
      </c>
      <c r="H371" s="3" t="s">
        <v>278</v>
      </c>
      <c r="I371" s="3">
        <v>0.2</v>
      </c>
    </row>
    <row r="372" spans="1:9">
      <c r="A372" s="2" t="s">
        <v>404</v>
      </c>
      <c r="B372" s="2">
        <v>2000000</v>
      </c>
      <c r="C372" s="2" t="s">
        <v>23</v>
      </c>
      <c r="D372" s="2">
        <v>0</v>
      </c>
      <c r="E372" s="2">
        <v>1</v>
      </c>
      <c r="F372" s="2" t="s">
        <v>148</v>
      </c>
      <c r="G372" s="2" t="s">
        <v>278</v>
      </c>
      <c r="H372" s="2" t="s">
        <v>278</v>
      </c>
      <c r="I372" s="2">
        <v>0.2</v>
      </c>
    </row>
    <row r="373" spans="1:9">
      <c r="A373" s="3" t="s">
        <v>405</v>
      </c>
      <c r="B373" s="3">
        <v>2000000</v>
      </c>
      <c r="C373" s="3" t="s">
        <v>19</v>
      </c>
      <c r="D373" s="3">
        <v>0</v>
      </c>
      <c r="E373" s="3">
        <v>1</v>
      </c>
      <c r="F373" s="3"/>
      <c r="G373" s="3" t="s">
        <v>278</v>
      </c>
      <c r="H373" s="3" t="s">
        <v>278</v>
      </c>
      <c r="I373" s="3">
        <v>0.2</v>
      </c>
    </row>
    <row r="374" spans="1:9">
      <c r="A374" s="2" t="s">
        <v>406</v>
      </c>
      <c r="B374" s="2">
        <v>2000000</v>
      </c>
      <c r="C374" s="2" t="s">
        <v>19</v>
      </c>
      <c r="D374" s="2">
        <v>0</v>
      </c>
      <c r="E374" s="2">
        <v>1</v>
      </c>
      <c r="F374" s="2"/>
      <c r="G374" s="2" t="s">
        <v>278</v>
      </c>
      <c r="H374" s="2" t="s">
        <v>278</v>
      </c>
      <c r="I374" s="2">
        <v>0.2</v>
      </c>
    </row>
    <row r="375" spans="1:9">
      <c r="A375" s="3" t="s">
        <v>407</v>
      </c>
      <c r="B375" s="3">
        <v>2000000</v>
      </c>
      <c r="C375" s="3" t="s">
        <v>19</v>
      </c>
      <c r="D375" s="3">
        <v>0</v>
      </c>
      <c r="E375" s="3">
        <v>1</v>
      </c>
      <c r="F375" s="3"/>
      <c r="G375" s="3" t="s">
        <v>278</v>
      </c>
      <c r="H375" s="3" t="s">
        <v>278</v>
      </c>
      <c r="I375" s="3">
        <v>0.2</v>
      </c>
    </row>
    <row r="376" spans="1:9">
      <c r="A376" s="2" t="s">
        <v>408</v>
      </c>
      <c r="B376" s="2">
        <v>2000000</v>
      </c>
      <c r="C376" s="2" t="s">
        <v>19</v>
      </c>
      <c r="D376" s="2">
        <v>0</v>
      </c>
      <c r="E376" s="2">
        <v>1</v>
      </c>
      <c r="F376" s="2"/>
      <c r="G376" s="2" t="s">
        <v>278</v>
      </c>
      <c r="H376" s="2" t="s">
        <v>278</v>
      </c>
      <c r="I376" s="2">
        <v>0.2</v>
      </c>
    </row>
    <row r="377" spans="1:9">
      <c r="A377" s="3" t="s">
        <v>409</v>
      </c>
      <c r="B377" s="3">
        <v>2000000</v>
      </c>
      <c r="C377" s="3" t="s">
        <v>19</v>
      </c>
      <c r="D377" s="3">
        <v>0</v>
      </c>
      <c r="E377" s="3">
        <v>1</v>
      </c>
      <c r="F377" s="3"/>
      <c r="G377" s="3" t="s">
        <v>278</v>
      </c>
      <c r="H377" s="3" t="s">
        <v>278</v>
      </c>
      <c r="I377" s="3">
        <v>0.2</v>
      </c>
    </row>
    <row r="378" spans="1:9">
      <c r="A378" s="2" t="s">
        <v>410</v>
      </c>
      <c r="B378" s="2">
        <v>2000000</v>
      </c>
      <c r="C378" s="2" t="s">
        <v>19</v>
      </c>
      <c r="D378" s="2">
        <v>0</v>
      </c>
      <c r="E378" s="2">
        <v>1</v>
      </c>
      <c r="F378" s="2"/>
      <c r="G378" s="2" t="s">
        <v>278</v>
      </c>
      <c r="H378" s="2" t="s">
        <v>278</v>
      </c>
      <c r="I378" s="2">
        <v>0.2</v>
      </c>
    </row>
    <row r="379" spans="1:9">
      <c r="A379" s="3" t="s">
        <v>411</v>
      </c>
      <c r="B379" s="3">
        <v>2000000</v>
      </c>
      <c r="C379" s="3" t="s">
        <v>19</v>
      </c>
      <c r="D379" s="3">
        <v>0</v>
      </c>
      <c r="E379" s="3">
        <v>1</v>
      </c>
      <c r="F379" s="3"/>
      <c r="G379" s="3" t="s">
        <v>278</v>
      </c>
      <c r="H379" s="3" t="s">
        <v>278</v>
      </c>
      <c r="I379" s="3">
        <v>0.2</v>
      </c>
    </row>
    <row r="380" spans="1:9">
      <c r="A380" s="2" t="s">
        <v>412</v>
      </c>
      <c r="B380" s="2">
        <v>2000000</v>
      </c>
      <c r="C380" s="2" t="s">
        <v>19</v>
      </c>
      <c r="D380" s="2">
        <v>0</v>
      </c>
      <c r="E380" s="2">
        <v>1</v>
      </c>
      <c r="F380" s="2"/>
      <c r="G380" s="2" t="s">
        <v>278</v>
      </c>
      <c r="H380" s="2" t="s">
        <v>278</v>
      </c>
      <c r="I380" s="2">
        <v>0.2</v>
      </c>
    </row>
    <row r="381" spans="1:9">
      <c r="A381" s="3" t="s">
        <v>413</v>
      </c>
      <c r="B381" s="3">
        <v>2000000</v>
      </c>
      <c r="C381" s="3" t="s">
        <v>19</v>
      </c>
      <c r="D381" s="3">
        <v>0</v>
      </c>
      <c r="E381" s="3">
        <v>1</v>
      </c>
      <c r="F381" s="3"/>
      <c r="G381" s="3" t="s">
        <v>278</v>
      </c>
      <c r="H381" s="3" t="s">
        <v>278</v>
      </c>
      <c r="I381" s="3">
        <v>0.2</v>
      </c>
    </row>
    <row r="382" spans="1:9">
      <c r="A382" s="2" t="s">
        <v>414</v>
      </c>
      <c r="B382" s="2">
        <v>2000000</v>
      </c>
      <c r="C382" s="2" t="s">
        <v>19</v>
      </c>
      <c r="D382" s="2">
        <v>0</v>
      </c>
      <c r="E382" s="2">
        <v>1</v>
      </c>
      <c r="F382" s="2"/>
      <c r="G382" s="2" t="s">
        <v>278</v>
      </c>
      <c r="H382" s="2" t="s">
        <v>278</v>
      </c>
      <c r="I382" s="2">
        <v>0.2</v>
      </c>
    </row>
    <row r="383" spans="1:9">
      <c r="A383" s="3" t="s">
        <v>415</v>
      </c>
      <c r="B383" s="3">
        <v>2000000</v>
      </c>
      <c r="C383" s="3" t="s">
        <v>19</v>
      </c>
      <c r="D383" s="3">
        <v>0</v>
      </c>
      <c r="E383" s="3">
        <v>1</v>
      </c>
      <c r="F383" s="3"/>
      <c r="G383" s="3" t="s">
        <v>278</v>
      </c>
      <c r="H383" s="3" t="s">
        <v>278</v>
      </c>
      <c r="I383" s="3">
        <v>0.2</v>
      </c>
    </row>
    <row r="384" spans="1:9">
      <c r="A384" s="2" t="s">
        <v>416</v>
      </c>
      <c r="B384" s="2">
        <v>2000000</v>
      </c>
      <c r="C384" s="2" t="s">
        <v>19</v>
      </c>
      <c r="D384" s="2">
        <v>0</v>
      </c>
      <c r="E384" s="2">
        <v>1</v>
      </c>
      <c r="F384" s="2"/>
      <c r="G384" s="2" t="s">
        <v>278</v>
      </c>
      <c r="H384" s="2" t="s">
        <v>278</v>
      </c>
      <c r="I384" s="2">
        <v>0.2</v>
      </c>
    </row>
    <row r="385" spans="1:9">
      <c r="A385" s="3" t="s">
        <v>417</v>
      </c>
      <c r="B385" s="3">
        <v>2000000</v>
      </c>
      <c r="C385" s="3" t="s">
        <v>19</v>
      </c>
      <c r="D385" s="3">
        <v>0</v>
      </c>
      <c r="E385" s="3">
        <v>1</v>
      </c>
      <c r="F385" s="3" t="s">
        <v>11</v>
      </c>
      <c r="G385" s="3" t="s">
        <v>278</v>
      </c>
      <c r="H385" s="3" t="s">
        <v>278</v>
      </c>
      <c r="I385" s="3">
        <v>0.2</v>
      </c>
    </row>
    <row r="386" spans="1:9">
      <c r="A386" s="2" t="s">
        <v>418</v>
      </c>
      <c r="B386" s="2">
        <v>2000000</v>
      </c>
      <c r="C386" s="2" t="s">
        <v>10</v>
      </c>
      <c r="D386" s="2">
        <v>0</v>
      </c>
      <c r="E386" s="2">
        <v>1</v>
      </c>
      <c r="F386" s="2"/>
      <c r="G386" s="2" t="s">
        <v>278</v>
      </c>
      <c r="H386" s="2" t="s">
        <v>278</v>
      </c>
      <c r="I386" s="2">
        <v>0.2</v>
      </c>
    </row>
    <row r="387" spans="1:9">
      <c r="A387" s="3" t="s">
        <v>419</v>
      </c>
      <c r="B387" s="3">
        <v>2000000</v>
      </c>
      <c r="C387" s="3" t="s">
        <v>10</v>
      </c>
      <c r="D387" s="3">
        <v>0</v>
      </c>
      <c r="E387" s="3">
        <v>1</v>
      </c>
      <c r="F387" s="3"/>
      <c r="G387" s="3" t="s">
        <v>278</v>
      </c>
      <c r="H387" s="3" t="s">
        <v>278</v>
      </c>
      <c r="I387" s="3">
        <v>0.2</v>
      </c>
    </row>
    <row r="388" spans="1:9">
      <c r="A388" s="2" t="s">
        <v>420</v>
      </c>
      <c r="B388" s="2">
        <v>2000000</v>
      </c>
      <c r="C388" s="2" t="s">
        <v>10</v>
      </c>
      <c r="D388" s="2">
        <v>0</v>
      </c>
      <c r="E388" s="2">
        <v>1</v>
      </c>
      <c r="F388" s="2" t="s">
        <v>11</v>
      </c>
      <c r="G388" s="2" t="s">
        <v>278</v>
      </c>
      <c r="H388" s="2" t="s">
        <v>278</v>
      </c>
      <c r="I388" s="2">
        <v>0.2</v>
      </c>
    </row>
    <row r="389" spans="1:9">
      <c r="A389" s="3" t="s">
        <v>421</v>
      </c>
      <c r="B389" s="3">
        <v>2000000</v>
      </c>
      <c r="C389" s="3" t="s">
        <v>10</v>
      </c>
      <c r="D389" s="3">
        <v>0</v>
      </c>
      <c r="E389" s="3">
        <v>1</v>
      </c>
      <c r="F389" s="3"/>
      <c r="G389" s="3" t="s">
        <v>278</v>
      </c>
      <c r="H389" s="3" t="s">
        <v>278</v>
      </c>
      <c r="I389" s="3">
        <v>0.2</v>
      </c>
    </row>
    <row r="390" spans="1:9">
      <c r="A390" s="2" t="s">
        <v>422</v>
      </c>
      <c r="B390" s="2">
        <v>2000000</v>
      </c>
      <c r="C390" s="2" t="s">
        <v>10</v>
      </c>
      <c r="D390" s="2">
        <v>0</v>
      </c>
      <c r="E390" s="2">
        <v>1</v>
      </c>
      <c r="F390" s="2"/>
      <c r="G390" s="2" t="s">
        <v>278</v>
      </c>
      <c r="H390" s="2" t="s">
        <v>278</v>
      </c>
      <c r="I390" s="2">
        <v>0.2</v>
      </c>
    </row>
    <row r="391" spans="1:9">
      <c r="A391" s="3" t="s">
        <v>423</v>
      </c>
      <c r="B391" s="3">
        <v>2000000</v>
      </c>
      <c r="C391" s="3" t="s">
        <v>10</v>
      </c>
      <c r="D391" s="3">
        <v>0</v>
      </c>
      <c r="E391" s="3">
        <v>1</v>
      </c>
      <c r="F391" s="3"/>
      <c r="G391" s="3" t="s">
        <v>278</v>
      </c>
      <c r="H391" s="3" t="s">
        <v>278</v>
      </c>
      <c r="I391" s="3">
        <v>0.2</v>
      </c>
    </row>
    <row r="392" spans="1:9">
      <c r="A392" s="2" t="s">
        <v>424</v>
      </c>
      <c r="B392" s="2">
        <v>2000000</v>
      </c>
      <c r="C392" s="2" t="s">
        <v>10</v>
      </c>
      <c r="D392" s="2">
        <v>0</v>
      </c>
      <c r="E392" s="2">
        <v>1</v>
      </c>
      <c r="F392" s="2"/>
      <c r="G392" s="2" t="s">
        <v>278</v>
      </c>
      <c r="H392" s="2" t="s">
        <v>278</v>
      </c>
      <c r="I392" s="2">
        <v>0.2</v>
      </c>
    </row>
    <row r="393" spans="1:9">
      <c r="A393" s="3" t="s">
        <v>425</v>
      </c>
      <c r="B393" s="3">
        <v>2000000</v>
      </c>
      <c r="C393" s="3" t="s">
        <v>10</v>
      </c>
      <c r="D393" s="3">
        <v>0</v>
      </c>
      <c r="E393" s="3">
        <v>1</v>
      </c>
      <c r="F393" s="3"/>
      <c r="G393" s="3" t="s">
        <v>278</v>
      </c>
      <c r="H393" s="3" t="s">
        <v>278</v>
      </c>
      <c r="I393" s="3">
        <v>0.2</v>
      </c>
    </row>
    <row r="394" spans="1:9">
      <c r="A394" s="2" t="s">
        <v>426</v>
      </c>
      <c r="B394" s="2">
        <v>2000000</v>
      </c>
      <c r="C394" s="2" t="s">
        <v>10</v>
      </c>
      <c r="D394" s="2">
        <v>0</v>
      </c>
      <c r="E394" s="2">
        <v>1</v>
      </c>
      <c r="F394" s="2" t="s">
        <v>76</v>
      </c>
      <c r="G394" s="2" t="s">
        <v>278</v>
      </c>
      <c r="H394" s="2" t="s">
        <v>278</v>
      </c>
      <c r="I394" s="2">
        <v>0.2</v>
      </c>
    </row>
    <row r="395" spans="1:9">
      <c r="A395" s="3" t="s">
        <v>427</v>
      </c>
      <c r="B395" s="3">
        <v>2000000</v>
      </c>
      <c r="C395" s="3" t="s">
        <v>10</v>
      </c>
      <c r="D395" s="3">
        <v>0</v>
      </c>
      <c r="E395" s="3">
        <v>1</v>
      </c>
      <c r="F395" s="3"/>
      <c r="G395" s="3" t="s">
        <v>278</v>
      </c>
      <c r="H395" s="3" t="s">
        <v>278</v>
      </c>
      <c r="I395" s="3">
        <v>0.2</v>
      </c>
    </row>
    <row r="396" spans="1:9">
      <c r="A396" s="2" t="s">
        <v>428</v>
      </c>
      <c r="B396" s="2">
        <v>2000000</v>
      </c>
      <c r="C396" s="2" t="s">
        <v>10</v>
      </c>
      <c r="D396" s="2">
        <v>0</v>
      </c>
      <c r="E396" s="2">
        <v>1</v>
      </c>
      <c r="F396" s="2"/>
      <c r="G396" s="2" t="s">
        <v>278</v>
      </c>
      <c r="H396" s="2" t="s">
        <v>278</v>
      </c>
      <c r="I396" s="2">
        <v>0.2</v>
      </c>
    </row>
    <row r="397" spans="1:9">
      <c r="A397" s="3" t="s">
        <v>429</v>
      </c>
      <c r="B397" s="3">
        <v>2000000</v>
      </c>
      <c r="C397" s="3" t="s">
        <v>10</v>
      </c>
      <c r="D397" s="3">
        <v>0</v>
      </c>
      <c r="E397" s="3">
        <v>1</v>
      </c>
      <c r="F397" s="3"/>
      <c r="G397" s="3" t="s">
        <v>278</v>
      </c>
      <c r="H397" s="3" t="s">
        <v>278</v>
      </c>
      <c r="I397" s="3">
        <v>0.2</v>
      </c>
    </row>
    <row r="398" spans="1:9">
      <c r="A398" s="2" t="s">
        <v>430</v>
      </c>
      <c r="B398" s="2">
        <v>2000000</v>
      </c>
      <c r="C398" s="2" t="s">
        <v>10</v>
      </c>
      <c r="D398" s="2">
        <v>0</v>
      </c>
      <c r="E398" s="2">
        <v>1</v>
      </c>
      <c r="F398" s="2"/>
      <c r="G398" s="2" t="s">
        <v>278</v>
      </c>
      <c r="H398" s="2" t="s">
        <v>278</v>
      </c>
      <c r="I398" s="2">
        <v>0.2</v>
      </c>
    </row>
    <row r="399" spans="1:9">
      <c r="A399" s="3" t="s">
        <v>431</v>
      </c>
      <c r="B399" s="3">
        <v>2000000</v>
      </c>
      <c r="C399" s="3" t="s">
        <v>10</v>
      </c>
      <c r="D399" s="3">
        <v>0</v>
      </c>
      <c r="E399" s="3">
        <v>1</v>
      </c>
      <c r="F399" s="3"/>
      <c r="G399" s="3" t="s">
        <v>278</v>
      </c>
      <c r="H399" s="3" t="s">
        <v>278</v>
      </c>
      <c r="I399" s="3">
        <v>0.2</v>
      </c>
    </row>
    <row r="400" spans="1:9">
      <c r="A400" s="2" t="s">
        <v>432</v>
      </c>
      <c r="B400" s="2">
        <v>2000000</v>
      </c>
      <c r="C400" s="2" t="s">
        <v>10</v>
      </c>
      <c r="D400" s="2">
        <v>0</v>
      </c>
      <c r="E400" s="2">
        <v>1</v>
      </c>
      <c r="F400" s="2"/>
      <c r="G400" s="2" t="s">
        <v>278</v>
      </c>
      <c r="H400" s="2" t="s">
        <v>278</v>
      </c>
      <c r="I400" s="2">
        <v>0.2</v>
      </c>
    </row>
    <row r="401" spans="1:9">
      <c r="A401" s="3" t="s">
        <v>433</v>
      </c>
      <c r="B401" s="3">
        <v>2000000</v>
      </c>
      <c r="C401" s="3" t="s">
        <v>10</v>
      </c>
      <c r="D401" s="3">
        <v>0</v>
      </c>
      <c r="E401" s="3">
        <v>1</v>
      </c>
      <c r="F401" s="3"/>
      <c r="G401" s="3" t="s">
        <v>278</v>
      </c>
      <c r="H401" s="3" t="s">
        <v>278</v>
      </c>
      <c r="I401" s="3">
        <v>0.2</v>
      </c>
    </row>
    <row r="402" spans="1:9">
      <c r="A402" s="2" t="s">
        <v>434</v>
      </c>
      <c r="B402" s="2">
        <v>2000000</v>
      </c>
      <c r="C402" s="2" t="s">
        <v>10</v>
      </c>
      <c r="D402" s="2">
        <v>0</v>
      </c>
      <c r="E402" s="2">
        <v>1</v>
      </c>
      <c r="F402" s="2"/>
      <c r="G402" s="2" t="s">
        <v>278</v>
      </c>
      <c r="H402" s="2" t="s">
        <v>278</v>
      </c>
      <c r="I402" s="2">
        <v>0.2</v>
      </c>
    </row>
    <row r="403" spans="1:9">
      <c r="A403" s="3" t="s">
        <v>435</v>
      </c>
      <c r="B403" s="3">
        <v>2000000</v>
      </c>
      <c r="C403" s="3" t="s">
        <v>10</v>
      </c>
      <c r="D403" s="3">
        <v>0</v>
      </c>
      <c r="E403" s="3">
        <v>1</v>
      </c>
      <c r="F403" s="3"/>
      <c r="G403" s="3" t="s">
        <v>278</v>
      </c>
      <c r="H403" s="3" t="s">
        <v>278</v>
      </c>
      <c r="I403" s="3">
        <v>0.2</v>
      </c>
    </row>
    <row r="404" spans="1:9">
      <c r="A404" s="2" t="s">
        <v>436</v>
      </c>
      <c r="B404" s="2">
        <v>2000000</v>
      </c>
      <c r="C404" s="2" t="s">
        <v>10</v>
      </c>
      <c r="D404" s="2">
        <v>0</v>
      </c>
      <c r="E404" s="2">
        <v>1</v>
      </c>
      <c r="F404" s="2"/>
      <c r="G404" s="2" t="s">
        <v>278</v>
      </c>
      <c r="H404" s="2" t="s">
        <v>278</v>
      </c>
      <c r="I404" s="2">
        <v>0.2</v>
      </c>
    </row>
    <row r="405" spans="1:9">
      <c r="A405" s="3" t="s">
        <v>437</v>
      </c>
      <c r="B405" s="3">
        <v>7500000</v>
      </c>
      <c r="C405" s="3" t="s">
        <v>23</v>
      </c>
      <c r="D405" s="3">
        <v>0</v>
      </c>
      <c r="E405" s="3">
        <v>1</v>
      </c>
      <c r="F405" s="3"/>
      <c r="G405" s="3" t="s">
        <v>278</v>
      </c>
      <c r="H405" s="3" t="s">
        <v>278</v>
      </c>
      <c r="I405" s="3">
        <v>0.75</v>
      </c>
    </row>
    <row r="406" spans="1:9">
      <c r="A406" s="2" t="s">
        <v>438</v>
      </c>
      <c r="B406" s="2">
        <v>10000000</v>
      </c>
      <c r="C406" s="2" t="s">
        <v>23</v>
      </c>
      <c r="D406" s="2">
        <v>0</v>
      </c>
      <c r="E406" s="2">
        <v>1</v>
      </c>
      <c r="F406" s="2"/>
      <c r="G406" s="2" t="s">
        <v>278</v>
      </c>
      <c r="H406" s="2" t="s">
        <v>278</v>
      </c>
      <c r="I406" s="2">
        <v>1</v>
      </c>
    </row>
    <row r="407" spans="1:9">
      <c r="A407" s="3" t="s">
        <v>439</v>
      </c>
      <c r="B407" s="3">
        <v>5000000</v>
      </c>
      <c r="C407" s="3" t="s">
        <v>23</v>
      </c>
      <c r="D407" s="3">
        <v>0</v>
      </c>
      <c r="E407" s="3">
        <v>1</v>
      </c>
      <c r="F407" s="3"/>
      <c r="G407" s="3" t="s">
        <v>278</v>
      </c>
      <c r="H407" s="3" t="s">
        <v>278</v>
      </c>
      <c r="I407" s="3">
        <v>0.5</v>
      </c>
    </row>
    <row r="408" spans="1:9">
      <c r="A408" s="2" t="s">
        <v>440</v>
      </c>
      <c r="B408" s="2">
        <v>5000000</v>
      </c>
      <c r="C408" s="2" t="s">
        <v>23</v>
      </c>
      <c r="D408" s="2">
        <v>0</v>
      </c>
      <c r="E408" s="2">
        <v>1</v>
      </c>
      <c r="F408" s="2"/>
      <c r="G408" s="2" t="s">
        <v>278</v>
      </c>
      <c r="H408" s="2" t="s">
        <v>278</v>
      </c>
      <c r="I408" s="2">
        <v>0.5</v>
      </c>
    </row>
    <row r="409" spans="1:9">
      <c r="A409" s="3" t="s">
        <v>441</v>
      </c>
      <c r="B409" s="3">
        <v>5000000</v>
      </c>
      <c r="C409" s="3" t="s">
        <v>23</v>
      </c>
      <c r="D409" s="3">
        <v>0</v>
      </c>
      <c r="E409" s="3">
        <v>1</v>
      </c>
      <c r="F409" s="3"/>
      <c r="G409" s="3" t="s">
        <v>278</v>
      </c>
      <c r="H409" s="3" t="s">
        <v>278</v>
      </c>
      <c r="I409" s="3">
        <v>0.5</v>
      </c>
    </row>
    <row r="410" spans="1:9">
      <c r="A410" s="2" t="s">
        <v>442</v>
      </c>
      <c r="B410" s="2">
        <v>20000000</v>
      </c>
      <c r="C410" s="2" t="s">
        <v>23</v>
      </c>
      <c r="D410" s="2">
        <v>0</v>
      </c>
      <c r="E410" s="2">
        <v>1</v>
      </c>
      <c r="F410" s="2"/>
      <c r="G410" s="2" t="s">
        <v>278</v>
      </c>
      <c r="H410" s="2" t="s">
        <v>278</v>
      </c>
      <c r="I410" s="2">
        <v>2</v>
      </c>
    </row>
    <row r="411" spans="1:9">
      <c r="A411" s="3" t="s">
        <v>443</v>
      </c>
      <c r="B411" s="3">
        <v>7500000</v>
      </c>
      <c r="C411" s="3" t="s">
        <v>23</v>
      </c>
      <c r="D411" s="3">
        <v>0</v>
      </c>
      <c r="E411" s="3">
        <v>1</v>
      </c>
      <c r="F411" s="3"/>
      <c r="G411" s="3" t="s">
        <v>278</v>
      </c>
      <c r="H411" s="3" t="s">
        <v>278</v>
      </c>
      <c r="I411" s="3">
        <v>0.75</v>
      </c>
    </row>
    <row r="412" spans="1:9">
      <c r="A412" s="2" t="s">
        <v>444</v>
      </c>
      <c r="B412" s="2">
        <v>5000000</v>
      </c>
      <c r="C412" s="2" t="s">
        <v>23</v>
      </c>
      <c r="D412" s="2">
        <v>0</v>
      </c>
      <c r="E412" s="2">
        <v>1</v>
      </c>
      <c r="F412" s="2"/>
      <c r="G412" s="2" t="s">
        <v>278</v>
      </c>
      <c r="H412" s="2" t="s">
        <v>278</v>
      </c>
      <c r="I412" s="2">
        <v>0.5</v>
      </c>
    </row>
    <row r="413" spans="1:9">
      <c r="A413" s="3" t="s">
        <v>445</v>
      </c>
      <c r="B413" s="3">
        <v>5000000</v>
      </c>
      <c r="C413" s="3" t="s">
        <v>23</v>
      </c>
      <c r="D413" s="3">
        <v>0</v>
      </c>
      <c r="E413" s="3">
        <v>1</v>
      </c>
      <c r="F413" s="3"/>
      <c r="G413" s="3" t="s">
        <v>278</v>
      </c>
      <c r="H413" s="3" t="s">
        <v>278</v>
      </c>
      <c r="I413" s="3">
        <v>0.5</v>
      </c>
    </row>
    <row r="414" spans="1:9">
      <c r="A414" s="2" t="s">
        <v>446</v>
      </c>
      <c r="B414" s="2">
        <v>5000000</v>
      </c>
      <c r="C414" s="2" t="s">
        <v>10</v>
      </c>
      <c r="D414" s="2">
        <v>0</v>
      </c>
      <c r="E414" s="2">
        <v>1</v>
      </c>
      <c r="F414" s="2" t="s">
        <v>27</v>
      </c>
      <c r="G414" s="2" t="s">
        <v>278</v>
      </c>
      <c r="H414" s="2" t="s">
        <v>278</v>
      </c>
      <c r="I414" s="2">
        <v>0.5</v>
      </c>
    </row>
    <row r="415" spans="1:9">
      <c r="A415" s="3" t="s">
        <v>447</v>
      </c>
      <c r="B415" s="3">
        <v>5000000</v>
      </c>
      <c r="C415" s="3" t="s">
        <v>10</v>
      </c>
      <c r="D415" s="3">
        <v>0</v>
      </c>
      <c r="E415" s="3">
        <v>1</v>
      </c>
      <c r="F415" s="3"/>
      <c r="G415" s="3" t="s">
        <v>278</v>
      </c>
      <c r="H415" s="3" t="s">
        <v>278</v>
      </c>
      <c r="I415" s="3">
        <v>0.5</v>
      </c>
    </row>
    <row r="416" spans="1:9">
      <c r="A416" s="2" t="s">
        <v>448</v>
      </c>
      <c r="B416" s="2">
        <v>1500000</v>
      </c>
      <c r="C416" s="2" t="s">
        <v>10</v>
      </c>
      <c r="D416" s="2">
        <v>0</v>
      </c>
      <c r="E416" s="2">
        <v>1</v>
      </c>
      <c r="F416" s="2" t="s">
        <v>235</v>
      </c>
      <c r="G416" s="2" t="s">
        <v>278</v>
      </c>
      <c r="H416" s="2" t="s">
        <v>278</v>
      </c>
      <c r="I416" s="2">
        <v>0.15</v>
      </c>
    </row>
    <row r="417" spans="1:9">
      <c r="A417" s="3" t="s">
        <v>449</v>
      </c>
      <c r="B417" s="3">
        <v>5000000</v>
      </c>
      <c r="C417" s="3" t="s">
        <v>10</v>
      </c>
      <c r="D417" s="3">
        <v>0</v>
      </c>
      <c r="E417" s="3">
        <v>1</v>
      </c>
      <c r="F417" s="3"/>
      <c r="G417" s="3" t="s">
        <v>278</v>
      </c>
      <c r="H417" s="3" t="s">
        <v>278</v>
      </c>
      <c r="I417" s="3">
        <v>0.5</v>
      </c>
    </row>
    <row r="418" spans="1:9">
      <c r="A418" s="2" t="s">
        <v>450</v>
      </c>
      <c r="B418" s="2">
        <v>10000000</v>
      </c>
      <c r="C418" s="2" t="s">
        <v>10</v>
      </c>
      <c r="D418" s="2">
        <v>0</v>
      </c>
      <c r="E418" s="2">
        <v>1</v>
      </c>
      <c r="F418" s="2"/>
      <c r="G418" s="2" t="s">
        <v>278</v>
      </c>
      <c r="H418" s="2" t="s">
        <v>278</v>
      </c>
      <c r="I418" s="2">
        <v>1</v>
      </c>
    </row>
    <row r="419" spans="1:9">
      <c r="A419" s="3" t="s">
        <v>451</v>
      </c>
      <c r="B419" s="3">
        <v>5000000</v>
      </c>
      <c r="C419" s="3" t="s">
        <v>10</v>
      </c>
      <c r="D419" s="3">
        <v>0</v>
      </c>
      <c r="E419" s="3">
        <v>1</v>
      </c>
      <c r="F419" s="3"/>
      <c r="G419" s="3" t="s">
        <v>278</v>
      </c>
      <c r="H419" s="3" t="s">
        <v>278</v>
      </c>
      <c r="I419" s="3">
        <v>0.5</v>
      </c>
    </row>
    <row r="420" spans="1:9">
      <c r="A420" s="2" t="s">
        <v>452</v>
      </c>
      <c r="B420" s="2">
        <v>20000000</v>
      </c>
      <c r="C420" s="2" t="s">
        <v>10</v>
      </c>
      <c r="D420" s="2">
        <v>0</v>
      </c>
      <c r="E420" s="2">
        <v>1</v>
      </c>
      <c r="F420" s="2" t="s">
        <v>148</v>
      </c>
      <c r="G420" s="2" t="s">
        <v>278</v>
      </c>
      <c r="H420" s="2" t="s">
        <v>278</v>
      </c>
      <c r="I420" s="2">
        <v>2</v>
      </c>
    </row>
    <row r="421" spans="1:9">
      <c r="A421" s="3" t="s">
        <v>453</v>
      </c>
      <c r="B421" s="3">
        <v>7500000</v>
      </c>
      <c r="C421" s="3" t="s">
        <v>10</v>
      </c>
      <c r="D421" s="3">
        <v>0</v>
      </c>
      <c r="E421" s="3">
        <v>1</v>
      </c>
      <c r="F421" s="3"/>
      <c r="G421" s="3" t="s">
        <v>278</v>
      </c>
      <c r="H421" s="3" t="s">
        <v>278</v>
      </c>
      <c r="I421" s="3">
        <v>0.75</v>
      </c>
    </row>
    <row r="422" spans="1:9">
      <c r="A422" s="2" t="s">
        <v>454</v>
      </c>
      <c r="B422" s="2">
        <v>5000000</v>
      </c>
      <c r="C422" s="2" t="s">
        <v>10</v>
      </c>
      <c r="D422" s="2">
        <v>0</v>
      </c>
      <c r="E422" s="2">
        <v>1</v>
      </c>
      <c r="F422" s="2"/>
      <c r="G422" s="2" t="s">
        <v>278</v>
      </c>
      <c r="H422" s="2" t="s">
        <v>278</v>
      </c>
      <c r="I422" s="2">
        <v>0.5</v>
      </c>
    </row>
    <row r="423" spans="1:9">
      <c r="A423" s="3" t="s">
        <v>455</v>
      </c>
      <c r="B423" s="3">
        <v>5000000</v>
      </c>
      <c r="C423" s="3" t="s">
        <v>10</v>
      </c>
      <c r="D423" s="3">
        <v>0</v>
      </c>
      <c r="E423" s="3">
        <v>1</v>
      </c>
      <c r="F423" s="3"/>
      <c r="G423" s="3" t="s">
        <v>278</v>
      </c>
      <c r="H423" s="3" t="s">
        <v>278</v>
      </c>
      <c r="I423" s="3">
        <v>0.5</v>
      </c>
    </row>
    <row r="424" spans="1:9">
      <c r="A424" s="2" t="s">
        <v>456</v>
      </c>
      <c r="B424" s="2">
        <v>2000000</v>
      </c>
      <c r="C424" s="2" t="s">
        <v>16</v>
      </c>
      <c r="D424" s="2">
        <v>0</v>
      </c>
      <c r="E424" s="2">
        <v>1</v>
      </c>
      <c r="F424" s="2"/>
      <c r="G424" s="2" t="s">
        <v>278</v>
      </c>
      <c r="H424" s="2" t="s">
        <v>278</v>
      </c>
      <c r="I424" s="2">
        <v>0.2</v>
      </c>
    </row>
    <row r="425" spans="1:9">
      <c r="A425" s="3" t="s">
        <v>457</v>
      </c>
      <c r="B425" s="3">
        <v>2000000</v>
      </c>
      <c r="C425" s="3" t="s">
        <v>16</v>
      </c>
      <c r="D425" s="3">
        <v>0</v>
      </c>
      <c r="E425" s="3">
        <v>1</v>
      </c>
      <c r="F425" s="3"/>
      <c r="G425" s="3" t="s">
        <v>278</v>
      </c>
      <c r="H425" s="3" t="s">
        <v>278</v>
      </c>
      <c r="I425" s="3">
        <v>0.2</v>
      </c>
    </row>
    <row r="426" spans="1:9">
      <c r="A426" s="2" t="s">
        <v>458</v>
      </c>
      <c r="B426" s="2">
        <v>2000000</v>
      </c>
      <c r="C426" s="2" t="s">
        <v>16</v>
      </c>
      <c r="D426" s="2">
        <v>0</v>
      </c>
      <c r="E426" s="2">
        <v>1</v>
      </c>
      <c r="F426" s="2"/>
      <c r="G426" s="2" t="s">
        <v>278</v>
      </c>
      <c r="H426" s="2" t="s">
        <v>278</v>
      </c>
      <c r="I426" s="2">
        <v>0.2</v>
      </c>
    </row>
    <row r="427" spans="1:9">
      <c r="A427" s="3" t="s">
        <v>459</v>
      </c>
      <c r="B427" s="3">
        <v>2000000</v>
      </c>
      <c r="C427" s="3" t="s">
        <v>16</v>
      </c>
      <c r="D427" s="3">
        <v>0</v>
      </c>
      <c r="E427" s="3">
        <v>1</v>
      </c>
      <c r="F427" s="3"/>
      <c r="G427" s="3" t="s">
        <v>278</v>
      </c>
      <c r="H427" s="3" t="s">
        <v>278</v>
      </c>
      <c r="I427" s="3">
        <v>0.2</v>
      </c>
    </row>
    <row r="428" spans="1:9">
      <c r="A428" s="2" t="s">
        <v>460</v>
      </c>
      <c r="B428" s="2">
        <v>2000000</v>
      </c>
      <c r="C428" s="2" t="s">
        <v>16</v>
      </c>
      <c r="D428" s="2">
        <v>0</v>
      </c>
      <c r="E428" s="2">
        <v>1</v>
      </c>
      <c r="F428" s="2"/>
      <c r="G428" s="2" t="s">
        <v>278</v>
      </c>
      <c r="H428" s="2" t="s">
        <v>278</v>
      </c>
      <c r="I428" s="2">
        <v>0.2</v>
      </c>
    </row>
    <row r="429" spans="1:9">
      <c r="A429" s="3" t="s">
        <v>461</v>
      </c>
      <c r="B429" s="3">
        <v>2000000</v>
      </c>
      <c r="C429" s="3" t="s">
        <v>16</v>
      </c>
      <c r="D429" s="3">
        <v>0</v>
      </c>
      <c r="E429" s="3">
        <v>1</v>
      </c>
      <c r="F429" s="3"/>
      <c r="G429" s="3" t="s">
        <v>278</v>
      </c>
      <c r="H429" s="3" t="s">
        <v>278</v>
      </c>
      <c r="I429" s="3">
        <v>0.2</v>
      </c>
    </row>
    <row r="430" spans="1:9">
      <c r="A430" s="2" t="s">
        <v>462</v>
      </c>
      <c r="B430" s="2">
        <v>2000000</v>
      </c>
      <c r="C430" s="2" t="s">
        <v>16</v>
      </c>
      <c r="D430" s="2">
        <v>0</v>
      </c>
      <c r="E430" s="2">
        <v>1</v>
      </c>
      <c r="F430" s="2"/>
      <c r="G430" s="2" t="s">
        <v>278</v>
      </c>
      <c r="H430" s="2" t="s">
        <v>278</v>
      </c>
      <c r="I430" s="2">
        <v>0.2</v>
      </c>
    </row>
    <row r="431" spans="1:9">
      <c r="A431" s="3" t="s">
        <v>463</v>
      </c>
      <c r="B431" s="3">
        <v>2000000</v>
      </c>
      <c r="C431" s="3" t="s">
        <v>16</v>
      </c>
      <c r="D431" s="3">
        <v>0</v>
      </c>
      <c r="E431" s="3">
        <v>1</v>
      </c>
      <c r="F431" s="3"/>
      <c r="G431" s="3" t="s">
        <v>278</v>
      </c>
      <c r="H431" s="3" t="s">
        <v>278</v>
      </c>
      <c r="I431" s="3">
        <v>0.2</v>
      </c>
    </row>
    <row r="432" spans="1:9">
      <c r="A432" s="2" t="s">
        <v>464</v>
      </c>
      <c r="B432" s="2">
        <v>2000000</v>
      </c>
      <c r="C432" s="2" t="s">
        <v>16</v>
      </c>
      <c r="D432" s="2">
        <v>0</v>
      </c>
      <c r="E432" s="2">
        <v>1</v>
      </c>
      <c r="F432" s="2"/>
      <c r="G432" s="2" t="s">
        <v>278</v>
      </c>
      <c r="H432" s="2" t="s">
        <v>278</v>
      </c>
      <c r="I432" s="2">
        <v>0.2</v>
      </c>
    </row>
    <row r="433" spans="1:9">
      <c r="A433" s="3" t="s">
        <v>465</v>
      </c>
      <c r="B433" s="3">
        <v>2000000</v>
      </c>
      <c r="C433" s="3" t="s">
        <v>16</v>
      </c>
      <c r="D433" s="3">
        <v>0</v>
      </c>
      <c r="E433" s="3">
        <v>1</v>
      </c>
      <c r="F433" s="3"/>
      <c r="G433" s="3" t="s">
        <v>278</v>
      </c>
      <c r="H433" s="3" t="s">
        <v>278</v>
      </c>
      <c r="I433" s="3">
        <v>0.2</v>
      </c>
    </row>
    <row r="434" spans="1:9">
      <c r="A434" s="2" t="s">
        <v>466</v>
      </c>
      <c r="B434" s="2">
        <v>2000000</v>
      </c>
      <c r="C434" s="2" t="s">
        <v>16</v>
      </c>
      <c r="D434" s="2">
        <v>0</v>
      </c>
      <c r="E434" s="2">
        <v>1</v>
      </c>
      <c r="F434" s="2"/>
      <c r="G434" s="2" t="s">
        <v>278</v>
      </c>
      <c r="H434" s="2" t="s">
        <v>278</v>
      </c>
      <c r="I434" s="2">
        <v>0.2</v>
      </c>
    </row>
    <row r="435" spans="1:9">
      <c r="A435" s="3" t="s">
        <v>467</v>
      </c>
      <c r="B435" s="3">
        <v>2000000</v>
      </c>
      <c r="C435" s="3" t="s">
        <v>16</v>
      </c>
      <c r="D435" s="3">
        <v>0</v>
      </c>
      <c r="E435" s="3">
        <v>1</v>
      </c>
      <c r="F435" s="3"/>
      <c r="G435" s="3" t="s">
        <v>278</v>
      </c>
      <c r="H435" s="3" t="s">
        <v>278</v>
      </c>
      <c r="I435" s="3">
        <v>0.2</v>
      </c>
    </row>
    <row r="436" spans="1:9">
      <c r="A436" s="2" t="s">
        <v>468</v>
      </c>
      <c r="B436" s="2">
        <v>4000000</v>
      </c>
      <c r="C436" s="2" t="s">
        <v>23</v>
      </c>
      <c r="D436" s="2">
        <v>0</v>
      </c>
      <c r="E436" s="2">
        <v>1</v>
      </c>
      <c r="F436" s="2"/>
      <c r="G436" s="2" t="s">
        <v>278</v>
      </c>
      <c r="H436" s="2" t="s">
        <v>278</v>
      </c>
      <c r="I436" s="2">
        <v>0.4</v>
      </c>
    </row>
    <row r="437" spans="1:9">
      <c r="A437" s="3" t="s">
        <v>469</v>
      </c>
      <c r="B437" s="3">
        <v>2000000</v>
      </c>
      <c r="C437" s="3" t="s">
        <v>23</v>
      </c>
      <c r="D437" s="3">
        <v>0</v>
      </c>
      <c r="E437" s="3">
        <v>1</v>
      </c>
      <c r="F437" s="3"/>
      <c r="G437" s="3" t="s">
        <v>278</v>
      </c>
      <c r="H437" s="3" t="s">
        <v>278</v>
      </c>
      <c r="I437" s="3">
        <v>0.2</v>
      </c>
    </row>
    <row r="438" spans="1:9">
      <c r="A438" s="2" t="s">
        <v>470</v>
      </c>
      <c r="B438" s="2">
        <v>2000000</v>
      </c>
      <c r="C438" s="2" t="s">
        <v>23</v>
      </c>
      <c r="D438" s="2">
        <v>0</v>
      </c>
      <c r="E438" s="2">
        <v>1</v>
      </c>
      <c r="F438" s="2" t="s">
        <v>148</v>
      </c>
      <c r="G438" s="2" t="s">
        <v>278</v>
      </c>
      <c r="H438" s="2" t="s">
        <v>278</v>
      </c>
      <c r="I438" s="2">
        <v>0.2</v>
      </c>
    </row>
    <row r="439" spans="1:9">
      <c r="A439" s="3" t="s">
        <v>471</v>
      </c>
      <c r="B439" s="3">
        <v>2000000</v>
      </c>
      <c r="C439" s="3" t="s">
        <v>23</v>
      </c>
      <c r="D439" s="3">
        <v>0</v>
      </c>
      <c r="E439" s="3">
        <v>1</v>
      </c>
      <c r="F439" s="3"/>
      <c r="G439" s="3" t="s">
        <v>278</v>
      </c>
      <c r="H439" s="3" t="s">
        <v>278</v>
      </c>
      <c r="I439" s="3">
        <v>0.2</v>
      </c>
    </row>
    <row r="440" spans="1:9">
      <c r="A440" s="2" t="s">
        <v>472</v>
      </c>
      <c r="B440" s="2">
        <v>2000000</v>
      </c>
      <c r="C440" s="2" t="s">
        <v>23</v>
      </c>
      <c r="D440" s="2">
        <v>0</v>
      </c>
      <c r="E440" s="2">
        <v>1</v>
      </c>
      <c r="F440" s="2" t="s">
        <v>24</v>
      </c>
      <c r="G440" s="2" t="s">
        <v>278</v>
      </c>
      <c r="H440" s="2" t="s">
        <v>278</v>
      </c>
      <c r="I440" s="2">
        <v>0.2</v>
      </c>
    </row>
    <row r="441" spans="1:9">
      <c r="A441" s="3" t="s">
        <v>473</v>
      </c>
      <c r="B441" s="3">
        <v>2000000</v>
      </c>
      <c r="C441" s="3" t="s">
        <v>23</v>
      </c>
      <c r="D441" s="3">
        <v>0</v>
      </c>
      <c r="E441" s="3">
        <v>1</v>
      </c>
      <c r="F441" s="3"/>
      <c r="G441" s="3" t="s">
        <v>278</v>
      </c>
      <c r="H441" s="3" t="s">
        <v>278</v>
      </c>
      <c r="I441" s="3">
        <v>0.2</v>
      </c>
    </row>
    <row r="442" spans="1:9">
      <c r="A442" s="2" t="s">
        <v>474</v>
      </c>
      <c r="B442" s="2">
        <v>2000000</v>
      </c>
      <c r="C442" s="2" t="s">
        <v>23</v>
      </c>
      <c r="D442" s="2">
        <v>0</v>
      </c>
      <c r="E442" s="2">
        <v>1</v>
      </c>
      <c r="F442" s="2"/>
      <c r="G442" s="2" t="s">
        <v>278</v>
      </c>
      <c r="H442" s="2" t="s">
        <v>278</v>
      </c>
      <c r="I442" s="2">
        <v>0.2</v>
      </c>
    </row>
    <row r="443" spans="1:9">
      <c r="A443" s="3" t="s">
        <v>475</v>
      </c>
      <c r="B443" s="3">
        <v>2000000</v>
      </c>
      <c r="C443" s="3" t="s">
        <v>23</v>
      </c>
      <c r="D443" s="3">
        <v>0</v>
      </c>
      <c r="E443" s="3">
        <v>1</v>
      </c>
      <c r="F443" s="3"/>
      <c r="G443" s="3" t="s">
        <v>278</v>
      </c>
      <c r="H443" s="3" t="s">
        <v>278</v>
      </c>
      <c r="I443" s="3">
        <v>0.2</v>
      </c>
    </row>
    <row r="444" spans="1:9">
      <c r="A444" s="2" t="s">
        <v>476</v>
      </c>
      <c r="B444" s="2">
        <v>2000000</v>
      </c>
      <c r="C444" s="2" t="s">
        <v>23</v>
      </c>
      <c r="D444" s="2">
        <v>0</v>
      </c>
      <c r="E444" s="2">
        <v>1</v>
      </c>
      <c r="F444" s="2"/>
      <c r="G444" s="2" t="s">
        <v>278</v>
      </c>
      <c r="H444" s="2" t="s">
        <v>278</v>
      </c>
      <c r="I444" s="2">
        <v>0.2</v>
      </c>
    </row>
    <row r="445" spans="1:9">
      <c r="A445" s="3" t="s">
        <v>477</v>
      </c>
      <c r="B445" s="3">
        <v>2000000</v>
      </c>
      <c r="C445" s="3" t="s">
        <v>23</v>
      </c>
      <c r="D445" s="3">
        <v>0</v>
      </c>
      <c r="E445" s="3">
        <v>1</v>
      </c>
      <c r="F445" s="3"/>
      <c r="G445" s="3" t="s">
        <v>278</v>
      </c>
      <c r="H445" s="3" t="s">
        <v>278</v>
      </c>
      <c r="I445" s="3">
        <v>0.2</v>
      </c>
    </row>
    <row r="446" spans="1:9">
      <c r="A446" s="2" t="s">
        <v>478</v>
      </c>
      <c r="B446" s="2">
        <v>4000000</v>
      </c>
      <c r="C446" s="2" t="s">
        <v>23</v>
      </c>
      <c r="D446" s="2">
        <v>0</v>
      </c>
      <c r="E446" s="2">
        <v>1</v>
      </c>
      <c r="F446" s="2"/>
      <c r="G446" s="2" t="s">
        <v>278</v>
      </c>
      <c r="H446" s="2" t="s">
        <v>278</v>
      </c>
      <c r="I446" s="2">
        <v>0.4</v>
      </c>
    </row>
    <row r="447" spans="1:9">
      <c r="A447" s="3" t="s">
        <v>479</v>
      </c>
      <c r="B447" s="3">
        <v>2000000</v>
      </c>
      <c r="C447" s="3" t="s">
        <v>23</v>
      </c>
      <c r="D447" s="3">
        <v>0</v>
      </c>
      <c r="E447" s="3">
        <v>1</v>
      </c>
      <c r="F447" s="3"/>
      <c r="G447" s="3" t="s">
        <v>278</v>
      </c>
      <c r="H447" s="3" t="s">
        <v>278</v>
      </c>
      <c r="I447" s="3">
        <v>0.2</v>
      </c>
    </row>
    <row r="448" spans="1:9">
      <c r="A448" s="2" t="s">
        <v>480</v>
      </c>
      <c r="B448" s="2">
        <v>2000000</v>
      </c>
      <c r="C448" s="2" t="s">
        <v>19</v>
      </c>
      <c r="D448" s="2">
        <v>0</v>
      </c>
      <c r="E448" s="2">
        <v>1</v>
      </c>
      <c r="F448" s="2"/>
      <c r="G448" s="2" t="s">
        <v>278</v>
      </c>
      <c r="H448" s="2" t="s">
        <v>278</v>
      </c>
      <c r="I448" s="2">
        <v>0.2</v>
      </c>
    </row>
    <row r="449" spans="1:9">
      <c r="A449" s="3" t="s">
        <v>481</v>
      </c>
      <c r="B449" s="3">
        <v>2000000</v>
      </c>
      <c r="C449" s="3" t="s">
        <v>19</v>
      </c>
      <c r="D449" s="3">
        <v>0</v>
      </c>
      <c r="E449" s="3">
        <v>1</v>
      </c>
      <c r="F449" s="3"/>
      <c r="G449" s="3" t="s">
        <v>278</v>
      </c>
      <c r="H449" s="3" t="s">
        <v>278</v>
      </c>
      <c r="I449" s="3">
        <v>0.2</v>
      </c>
    </row>
    <row r="450" spans="1:9">
      <c r="A450" s="2" t="s">
        <v>482</v>
      </c>
      <c r="B450" s="2">
        <v>2000000</v>
      </c>
      <c r="C450" s="2" t="s">
        <v>19</v>
      </c>
      <c r="D450" s="2">
        <v>0</v>
      </c>
      <c r="E450" s="2">
        <v>1</v>
      </c>
      <c r="F450" s="2"/>
      <c r="G450" s="2" t="s">
        <v>278</v>
      </c>
      <c r="H450" s="2" t="s">
        <v>278</v>
      </c>
      <c r="I450" s="2">
        <v>0.2</v>
      </c>
    </row>
    <row r="451" spans="1:9">
      <c r="A451" s="3" t="s">
        <v>483</v>
      </c>
      <c r="B451" s="3">
        <v>2000000</v>
      </c>
      <c r="C451" s="3" t="s">
        <v>19</v>
      </c>
      <c r="D451" s="3">
        <v>0</v>
      </c>
      <c r="E451" s="3">
        <v>1</v>
      </c>
      <c r="F451" s="3"/>
      <c r="G451" s="3" t="s">
        <v>278</v>
      </c>
      <c r="H451" s="3" t="s">
        <v>278</v>
      </c>
      <c r="I451" s="3">
        <v>0.2</v>
      </c>
    </row>
    <row r="452" spans="1:9">
      <c r="A452" s="2" t="s">
        <v>484</v>
      </c>
      <c r="B452" s="2">
        <v>2000000</v>
      </c>
      <c r="C452" s="2" t="s">
        <v>19</v>
      </c>
      <c r="D452" s="2">
        <v>0</v>
      </c>
      <c r="E452" s="2">
        <v>1</v>
      </c>
      <c r="F452" s="2"/>
      <c r="G452" s="2" t="s">
        <v>278</v>
      </c>
      <c r="H452" s="2" t="s">
        <v>278</v>
      </c>
      <c r="I452" s="2">
        <v>0.2</v>
      </c>
    </row>
    <row r="453" spans="1:9">
      <c r="A453" s="3" t="s">
        <v>485</v>
      </c>
      <c r="B453" s="3">
        <v>2000000</v>
      </c>
      <c r="C453" s="3" t="s">
        <v>19</v>
      </c>
      <c r="D453" s="3">
        <v>0</v>
      </c>
      <c r="E453" s="3">
        <v>1</v>
      </c>
      <c r="F453" s="3"/>
      <c r="G453" s="3" t="s">
        <v>278</v>
      </c>
      <c r="H453" s="3" t="s">
        <v>278</v>
      </c>
      <c r="I453" s="3">
        <v>0.2</v>
      </c>
    </row>
    <row r="454" spans="1:9">
      <c r="A454" s="2" t="s">
        <v>486</v>
      </c>
      <c r="B454" s="2">
        <v>2000000</v>
      </c>
      <c r="C454" s="2" t="s">
        <v>19</v>
      </c>
      <c r="D454" s="2">
        <v>0</v>
      </c>
      <c r="E454" s="2">
        <v>1</v>
      </c>
      <c r="F454" s="2"/>
      <c r="G454" s="2" t="s">
        <v>278</v>
      </c>
      <c r="H454" s="2" t="s">
        <v>278</v>
      </c>
      <c r="I454" s="2">
        <v>0.2</v>
      </c>
    </row>
    <row r="455" spans="1:9">
      <c r="A455" s="3" t="s">
        <v>487</v>
      </c>
      <c r="B455" s="3">
        <v>2000000</v>
      </c>
      <c r="C455" s="3" t="s">
        <v>19</v>
      </c>
      <c r="D455" s="3">
        <v>0</v>
      </c>
      <c r="E455" s="3">
        <v>1</v>
      </c>
      <c r="F455" s="3"/>
      <c r="G455" s="3" t="s">
        <v>278</v>
      </c>
      <c r="H455" s="3" t="s">
        <v>278</v>
      </c>
      <c r="I455" s="3">
        <v>0.2</v>
      </c>
    </row>
    <row r="456" spans="1:9">
      <c r="A456" s="2" t="s">
        <v>488</v>
      </c>
      <c r="B456" s="2">
        <v>2000000</v>
      </c>
      <c r="C456" s="2" t="s">
        <v>19</v>
      </c>
      <c r="D456" s="2">
        <v>0</v>
      </c>
      <c r="E456" s="2">
        <v>1</v>
      </c>
      <c r="F456" s="2"/>
      <c r="G456" s="2" t="s">
        <v>278</v>
      </c>
      <c r="H456" s="2" t="s">
        <v>278</v>
      </c>
      <c r="I456" s="2">
        <v>0.2</v>
      </c>
    </row>
    <row r="457" spans="1:9">
      <c r="A457" s="3" t="s">
        <v>489</v>
      </c>
      <c r="B457" s="3">
        <v>2000000</v>
      </c>
      <c r="C457" s="3" t="s">
        <v>19</v>
      </c>
      <c r="D457" s="3">
        <v>0</v>
      </c>
      <c r="E457" s="3">
        <v>1</v>
      </c>
      <c r="F457" s="3"/>
      <c r="G457" s="3" t="s">
        <v>278</v>
      </c>
      <c r="H457" s="3" t="s">
        <v>278</v>
      </c>
      <c r="I457" s="3">
        <v>0.2</v>
      </c>
    </row>
    <row r="458" spans="1:9">
      <c r="A458" s="2" t="s">
        <v>490</v>
      </c>
      <c r="B458" s="2">
        <v>2000000</v>
      </c>
      <c r="C458" s="2" t="s">
        <v>19</v>
      </c>
      <c r="D458" s="2">
        <v>0</v>
      </c>
      <c r="E458" s="2">
        <v>1</v>
      </c>
      <c r="F458" s="2"/>
      <c r="G458" s="2" t="s">
        <v>278</v>
      </c>
      <c r="H458" s="2" t="s">
        <v>278</v>
      </c>
      <c r="I458" s="2">
        <v>0.2</v>
      </c>
    </row>
    <row r="459" spans="1:9">
      <c r="A459" s="3" t="s">
        <v>491</v>
      </c>
      <c r="B459" s="3">
        <v>2000000</v>
      </c>
      <c r="C459" s="3" t="s">
        <v>19</v>
      </c>
      <c r="D459" s="3">
        <v>0</v>
      </c>
      <c r="E459" s="3">
        <v>1</v>
      </c>
      <c r="F459" s="3"/>
      <c r="G459" s="3" t="s">
        <v>278</v>
      </c>
      <c r="H459" s="3" t="s">
        <v>278</v>
      </c>
      <c r="I459" s="3">
        <v>0.2</v>
      </c>
    </row>
    <row r="460" spans="1:9">
      <c r="A460" s="2" t="s">
        <v>492</v>
      </c>
      <c r="B460" s="2">
        <v>2000000</v>
      </c>
      <c r="C460" s="2" t="s">
        <v>19</v>
      </c>
      <c r="D460" s="2">
        <v>0</v>
      </c>
      <c r="E460" s="2">
        <v>1</v>
      </c>
      <c r="F460" s="2"/>
      <c r="G460" s="2" t="s">
        <v>278</v>
      </c>
      <c r="H460" s="2" t="s">
        <v>278</v>
      </c>
      <c r="I460" s="2">
        <v>0.2</v>
      </c>
    </row>
    <row r="461" spans="1:9">
      <c r="A461" s="3" t="s">
        <v>493</v>
      </c>
      <c r="B461" s="3">
        <v>2000000</v>
      </c>
      <c r="C461" s="3" t="s">
        <v>10</v>
      </c>
      <c r="D461" s="3">
        <v>0</v>
      </c>
      <c r="E461" s="3">
        <v>1</v>
      </c>
      <c r="F461" s="3"/>
      <c r="G461" s="3" t="s">
        <v>278</v>
      </c>
      <c r="H461" s="3" t="s">
        <v>278</v>
      </c>
      <c r="I461" s="3">
        <v>0.2</v>
      </c>
    </row>
    <row r="462" spans="1:9">
      <c r="A462" s="2" t="s">
        <v>494</v>
      </c>
      <c r="B462" s="2">
        <v>2000000</v>
      </c>
      <c r="C462" s="2" t="s">
        <v>10</v>
      </c>
      <c r="D462" s="2">
        <v>0</v>
      </c>
      <c r="E462" s="2">
        <v>1</v>
      </c>
      <c r="F462" s="2"/>
      <c r="G462" s="2" t="s">
        <v>278</v>
      </c>
      <c r="H462" s="2" t="s">
        <v>278</v>
      </c>
      <c r="I462" s="2">
        <v>0.2</v>
      </c>
    </row>
    <row r="463" spans="1:9">
      <c r="A463" s="3" t="s">
        <v>495</v>
      </c>
      <c r="B463" s="3">
        <v>2000000</v>
      </c>
      <c r="C463" s="3" t="s">
        <v>10</v>
      </c>
      <c r="D463" s="3">
        <v>0</v>
      </c>
      <c r="E463" s="3">
        <v>1</v>
      </c>
      <c r="F463" s="3"/>
      <c r="G463" s="3" t="s">
        <v>278</v>
      </c>
      <c r="H463" s="3" t="s">
        <v>278</v>
      </c>
      <c r="I463" s="3">
        <v>0.2</v>
      </c>
    </row>
    <row r="464" spans="1:9">
      <c r="A464" s="2" t="s">
        <v>496</v>
      </c>
      <c r="B464" s="2">
        <v>2000000</v>
      </c>
      <c r="C464" s="2" t="s">
        <v>10</v>
      </c>
      <c r="D464" s="2">
        <v>0</v>
      </c>
      <c r="E464" s="2">
        <v>1</v>
      </c>
      <c r="F464" s="2"/>
      <c r="G464" s="2" t="s">
        <v>278</v>
      </c>
      <c r="H464" s="2" t="s">
        <v>278</v>
      </c>
      <c r="I464" s="2">
        <v>0.2</v>
      </c>
    </row>
    <row r="465" spans="1:9">
      <c r="A465" s="3" t="s">
        <v>497</v>
      </c>
      <c r="B465" s="3">
        <v>4000000</v>
      </c>
      <c r="C465" s="3" t="s">
        <v>10</v>
      </c>
      <c r="D465" s="3">
        <v>0</v>
      </c>
      <c r="E465" s="3">
        <v>1</v>
      </c>
      <c r="F465" s="3"/>
      <c r="G465" s="3" t="s">
        <v>278</v>
      </c>
      <c r="H465" s="3" t="s">
        <v>278</v>
      </c>
      <c r="I465" s="3">
        <v>0.4</v>
      </c>
    </row>
    <row r="466" spans="1:9">
      <c r="A466" s="2" t="s">
        <v>498</v>
      </c>
      <c r="B466" s="2">
        <v>2000000</v>
      </c>
      <c r="C466" s="2" t="s">
        <v>10</v>
      </c>
      <c r="D466" s="2">
        <v>0</v>
      </c>
      <c r="E466" s="2">
        <v>1</v>
      </c>
      <c r="F466" s="2"/>
      <c r="G466" s="2" t="s">
        <v>278</v>
      </c>
      <c r="H466" s="2" t="s">
        <v>278</v>
      </c>
      <c r="I466" s="2">
        <v>0.2</v>
      </c>
    </row>
    <row r="467" spans="1:9">
      <c r="A467" s="3" t="s">
        <v>499</v>
      </c>
      <c r="B467" s="3">
        <v>2000000</v>
      </c>
      <c r="C467" s="3" t="s">
        <v>10</v>
      </c>
      <c r="D467" s="3">
        <v>0</v>
      </c>
      <c r="E467" s="3">
        <v>1</v>
      </c>
      <c r="F467" s="3"/>
      <c r="G467" s="3" t="s">
        <v>278</v>
      </c>
      <c r="H467" s="3" t="s">
        <v>278</v>
      </c>
      <c r="I467" s="3">
        <v>0.2</v>
      </c>
    </row>
    <row r="468" spans="1:9">
      <c r="A468" s="2" t="s">
        <v>500</v>
      </c>
      <c r="B468" s="2">
        <v>2000000</v>
      </c>
      <c r="C468" s="2" t="s">
        <v>10</v>
      </c>
      <c r="D468" s="2">
        <v>0</v>
      </c>
      <c r="E468" s="2">
        <v>1</v>
      </c>
      <c r="F468" s="2"/>
      <c r="G468" s="2" t="s">
        <v>278</v>
      </c>
      <c r="H468" s="2" t="s">
        <v>278</v>
      </c>
      <c r="I468" s="2">
        <v>0.2</v>
      </c>
    </row>
    <row r="469" spans="1:9">
      <c r="A469" s="3" t="s">
        <v>501</v>
      </c>
      <c r="B469" s="3">
        <v>2000000</v>
      </c>
      <c r="C469" s="3" t="s">
        <v>10</v>
      </c>
      <c r="D469" s="3">
        <v>0</v>
      </c>
      <c r="E469" s="3">
        <v>1</v>
      </c>
      <c r="F469" s="3"/>
      <c r="G469" s="3" t="s">
        <v>278</v>
      </c>
      <c r="H469" s="3" t="s">
        <v>278</v>
      </c>
      <c r="I469" s="3">
        <v>0.2</v>
      </c>
    </row>
    <row r="470" spans="1:9">
      <c r="A470" s="2" t="s">
        <v>502</v>
      </c>
      <c r="B470" s="2">
        <v>2000000</v>
      </c>
      <c r="C470" s="2" t="s">
        <v>10</v>
      </c>
      <c r="D470" s="2">
        <v>0</v>
      </c>
      <c r="E470" s="2">
        <v>1</v>
      </c>
      <c r="F470" s="2"/>
      <c r="G470" s="2" t="s">
        <v>278</v>
      </c>
      <c r="H470" s="2" t="s">
        <v>278</v>
      </c>
      <c r="I470" s="2">
        <v>0.2</v>
      </c>
    </row>
    <row r="471" spans="1:9">
      <c r="A471" s="3" t="s">
        <v>503</v>
      </c>
      <c r="B471" s="3">
        <v>2000000</v>
      </c>
      <c r="C471" s="3" t="s">
        <v>10</v>
      </c>
      <c r="D471" s="3">
        <v>0</v>
      </c>
      <c r="E471" s="3">
        <v>1</v>
      </c>
      <c r="F471" s="3"/>
      <c r="G471" s="3" t="s">
        <v>278</v>
      </c>
      <c r="H471" s="3" t="s">
        <v>278</v>
      </c>
      <c r="I471" s="3">
        <v>0.2</v>
      </c>
    </row>
    <row r="472" spans="1:9">
      <c r="A472" s="2" t="s">
        <v>504</v>
      </c>
      <c r="B472" s="2">
        <v>2000000</v>
      </c>
      <c r="C472" s="2" t="s">
        <v>10</v>
      </c>
      <c r="D472" s="2">
        <v>0</v>
      </c>
      <c r="E472" s="2">
        <v>1</v>
      </c>
      <c r="F472" s="2"/>
      <c r="G472" s="2" t="s">
        <v>278</v>
      </c>
      <c r="H472" s="2" t="s">
        <v>278</v>
      </c>
      <c r="I472" s="2">
        <v>0.2</v>
      </c>
    </row>
    <row r="473" spans="1:9">
      <c r="A473" s="3" t="s">
        <v>505</v>
      </c>
      <c r="B473" s="3">
        <v>5000000</v>
      </c>
      <c r="C473" s="3" t="s">
        <v>23</v>
      </c>
      <c r="D473" s="3">
        <v>0</v>
      </c>
      <c r="E473" s="3">
        <v>1</v>
      </c>
      <c r="F473" s="3" t="s">
        <v>148</v>
      </c>
      <c r="G473" s="3" t="s">
        <v>278</v>
      </c>
      <c r="H473" s="3" t="s">
        <v>278</v>
      </c>
      <c r="I473" s="3">
        <v>0.5</v>
      </c>
    </row>
    <row r="474" spans="1:9">
      <c r="A474" s="2" t="s">
        <v>506</v>
      </c>
      <c r="B474" s="2">
        <v>7500000</v>
      </c>
      <c r="C474" s="2" t="s">
        <v>23</v>
      </c>
      <c r="D474" s="2">
        <v>0</v>
      </c>
      <c r="E474" s="2">
        <v>1</v>
      </c>
      <c r="F474" s="2"/>
      <c r="G474" s="2" t="s">
        <v>278</v>
      </c>
      <c r="H474" s="2" t="s">
        <v>278</v>
      </c>
      <c r="I474" s="2">
        <v>0.75</v>
      </c>
    </row>
    <row r="475" spans="1:9">
      <c r="A475" s="3" t="s">
        <v>507</v>
      </c>
      <c r="B475" s="3">
        <v>10000000</v>
      </c>
      <c r="C475" s="3" t="s">
        <v>23</v>
      </c>
      <c r="D475" s="3">
        <v>0</v>
      </c>
      <c r="E475" s="3">
        <v>1</v>
      </c>
      <c r="F475" s="3"/>
      <c r="G475" s="3" t="s">
        <v>278</v>
      </c>
      <c r="H475" s="3" t="s">
        <v>278</v>
      </c>
      <c r="I475" s="3">
        <v>1</v>
      </c>
    </row>
    <row r="476" spans="1:9">
      <c r="A476" s="2" t="s">
        <v>508</v>
      </c>
      <c r="B476" s="2">
        <v>10000000</v>
      </c>
      <c r="C476" s="2" t="s">
        <v>23</v>
      </c>
      <c r="D476" s="2">
        <v>0</v>
      </c>
      <c r="E476" s="2">
        <v>1</v>
      </c>
      <c r="F476" s="2"/>
      <c r="G476" s="2" t="s">
        <v>278</v>
      </c>
      <c r="H476" s="2" t="s">
        <v>278</v>
      </c>
      <c r="I476" s="2">
        <v>1</v>
      </c>
    </row>
    <row r="477" spans="1:9">
      <c r="A477" s="3" t="s">
        <v>509</v>
      </c>
      <c r="B477" s="3">
        <v>5000000</v>
      </c>
      <c r="C477" s="3" t="s">
        <v>23</v>
      </c>
      <c r="D477" s="3">
        <v>0</v>
      </c>
      <c r="E477" s="3">
        <v>1</v>
      </c>
      <c r="F477" s="3"/>
      <c r="G477" s="3" t="s">
        <v>278</v>
      </c>
      <c r="H477" s="3" t="s">
        <v>278</v>
      </c>
      <c r="I477" s="3">
        <v>0.5</v>
      </c>
    </row>
    <row r="478" spans="1:9">
      <c r="A478" s="2" t="s">
        <v>510</v>
      </c>
      <c r="B478" s="2">
        <v>5000000</v>
      </c>
      <c r="C478" s="2" t="s">
        <v>23</v>
      </c>
      <c r="D478" s="2">
        <v>0</v>
      </c>
      <c r="E478" s="2">
        <v>1</v>
      </c>
      <c r="F478" s="2"/>
      <c r="G478" s="2" t="s">
        <v>278</v>
      </c>
      <c r="H478" s="2" t="s">
        <v>278</v>
      </c>
      <c r="I478" s="2">
        <v>0.5</v>
      </c>
    </row>
    <row r="479" spans="1:9">
      <c r="A479" s="3" t="s">
        <v>511</v>
      </c>
      <c r="B479" s="3">
        <v>5000000</v>
      </c>
      <c r="C479" s="3" t="s">
        <v>23</v>
      </c>
      <c r="D479" s="3">
        <v>0</v>
      </c>
      <c r="E479" s="3">
        <v>1</v>
      </c>
      <c r="F479" s="3"/>
      <c r="G479" s="3" t="s">
        <v>278</v>
      </c>
      <c r="H479" s="3" t="s">
        <v>278</v>
      </c>
      <c r="I479" s="3">
        <v>0.5</v>
      </c>
    </row>
    <row r="480" spans="1:9">
      <c r="A480" s="2" t="s">
        <v>512</v>
      </c>
      <c r="B480" s="2">
        <v>5000000</v>
      </c>
      <c r="C480" s="2" t="s">
        <v>23</v>
      </c>
      <c r="D480" s="2">
        <v>0</v>
      </c>
      <c r="E480" s="2">
        <v>1</v>
      </c>
      <c r="F480" s="2"/>
      <c r="G480" s="2" t="s">
        <v>278</v>
      </c>
      <c r="H480" s="2" t="s">
        <v>278</v>
      </c>
      <c r="I480" s="2">
        <v>0.5</v>
      </c>
    </row>
    <row r="481" spans="1:9">
      <c r="A481" s="3" t="s">
        <v>513</v>
      </c>
      <c r="B481" s="3">
        <v>2000000</v>
      </c>
      <c r="C481" s="3" t="s">
        <v>23</v>
      </c>
      <c r="D481" s="3">
        <v>0</v>
      </c>
      <c r="E481" s="3">
        <v>1</v>
      </c>
      <c r="F481" s="3"/>
      <c r="G481" s="3" t="s">
        <v>278</v>
      </c>
      <c r="H481" s="3" t="s">
        <v>278</v>
      </c>
      <c r="I481" s="3">
        <v>0.2</v>
      </c>
    </row>
    <row r="482" spans="1:9">
      <c r="A482" s="2" t="s">
        <v>514</v>
      </c>
      <c r="B482" s="2">
        <v>2000000</v>
      </c>
      <c r="C482" s="2" t="s">
        <v>23</v>
      </c>
      <c r="D482" s="2">
        <v>0</v>
      </c>
      <c r="E482" s="2">
        <v>1</v>
      </c>
      <c r="F482" s="2"/>
      <c r="G482" s="2" t="s">
        <v>278</v>
      </c>
      <c r="H482" s="2" t="s">
        <v>278</v>
      </c>
      <c r="I482" s="2">
        <v>0.2</v>
      </c>
    </row>
    <row r="483" spans="1:9">
      <c r="A483" s="3" t="s">
        <v>515</v>
      </c>
      <c r="B483" s="3">
        <v>4000000</v>
      </c>
      <c r="C483" s="3" t="s">
        <v>23</v>
      </c>
      <c r="D483" s="3">
        <v>0</v>
      </c>
      <c r="E483" s="3">
        <v>1</v>
      </c>
      <c r="F483" s="3"/>
      <c r="G483" s="3" t="s">
        <v>278</v>
      </c>
      <c r="H483" s="3" t="s">
        <v>278</v>
      </c>
      <c r="I483" s="3">
        <v>0.4</v>
      </c>
    </row>
    <row r="484" spans="1:9">
      <c r="A484" s="2" t="s">
        <v>516</v>
      </c>
      <c r="B484" s="2">
        <v>2000000</v>
      </c>
      <c r="C484" s="2" t="s">
        <v>23</v>
      </c>
      <c r="D484" s="2">
        <v>0</v>
      </c>
      <c r="E484" s="2">
        <v>1</v>
      </c>
      <c r="F484" s="2"/>
      <c r="G484" s="2" t="s">
        <v>278</v>
      </c>
      <c r="H484" s="2" t="s">
        <v>278</v>
      </c>
      <c r="I484" s="2">
        <v>0.2</v>
      </c>
    </row>
    <row r="485" spans="1:9">
      <c r="A485" s="3" t="s">
        <v>517</v>
      </c>
      <c r="B485" s="3">
        <v>2000000</v>
      </c>
      <c r="C485" s="3" t="s">
        <v>23</v>
      </c>
      <c r="D485" s="3">
        <v>0</v>
      </c>
      <c r="E485" s="3">
        <v>1</v>
      </c>
      <c r="F485" s="3"/>
      <c r="G485" s="3" t="s">
        <v>278</v>
      </c>
      <c r="H485" s="3" t="s">
        <v>278</v>
      </c>
      <c r="I485" s="3">
        <v>0.2</v>
      </c>
    </row>
    <row r="486" spans="1:9">
      <c r="A486" s="2" t="s">
        <v>518</v>
      </c>
      <c r="B486" s="2">
        <v>2000000</v>
      </c>
      <c r="C486" s="2" t="s">
        <v>23</v>
      </c>
      <c r="D486" s="2">
        <v>0</v>
      </c>
      <c r="E486" s="2">
        <v>1</v>
      </c>
      <c r="F486" s="2"/>
      <c r="G486" s="2" t="s">
        <v>278</v>
      </c>
      <c r="H486" s="2" t="s">
        <v>278</v>
      </c>
      <c r="I486" s="2">
        <v>0.2</v>
      </c>
    </row>
    <row r="487" spans="1:9">
      <c r="A487" s="3" t="s">
        <v>519</v>
      </c>
      <c r="B487" s="3">
        <v>2000000</v>
      </c>
      <c r="C487" s="3" t="s">
        <v>23</v>
      </c>
      <c r="D487" s="3">
        <v>0</v>
      </c>
      <c r="E487" s="3">
        <v>1</v>
      </c>
      <c r="F487" s="3"/>
      <c r="G487" s="3" t="s">
        <v>278</v>
      </c>
      <c r="H487" s="3" t="s">
        <v>278</v>
      </c>
      <c r="I487" s="3">
        <v>0.2</v>
      </c>
    </row>
    <row r="488" spans="1:9">
      <c r="A488" s="2" t="s">
        <v>520</v>
      </c>
      <c r="B488" s="2">
        <v>2000000</v>
      </c>
      <c r="C488" s="2" t="s">
        <v>23</v>
      </c>
      <c r="D488" s="2">
        <v>0</v>
      </c>
      <c r="E488" s="2">
        <v>1</v>
      </c>
      <c r="F488" s="2"/>
      <c r="G488" s="2" t="s">
        <v>278</v>
      </c>
      <c r="H488" s="2" t="s">
        <v>278</v>
      </c>
      <c r="I488" s="2">
        <v>0.2</v>
      </c>
    </row>
    <row r="489" spans="1:9">
      <c r="A489" s="3" t="s">
        <v>521</v>
      </c>
      <c r="B489" s="3">
        <v>2000000</v>
      </c>
      <c r="C489" s="3" t="s">
        <v>23</v>
      </c>
      <c r="D489" s="3">
        <v>0</v>
      </c>
      <c r="E489" s="3">
        <v>1</v>
      </c>
      <c r="F489" s="3"/>
      <c r="G489" s="3" t="s">
        <v>278</v>
      </c>
      <c r="H489" s="3" t="s">
        <v>278</v>
      </c>
      <c r="I489" s="3">
        <v>0.2</v>
      </c>
    </row>
    <row r="490" spans="1:9">
      <c r="A490" s="2" t="s">
        <v>522</v>
      </c>
      <c r="B490" s="2">
        <v>2000000</v>
      </c>
      <c r="C490" s="2" t="s">
        <v>23</v>
      </c>
      <c r="D490" s="2">
        <v>0</v>
      </c>
      <c r="E490" s="2">
        <v>1</v>
      </c>
      <c r="F490" s="2"/>
      <c r="G490" s="2" t="s">
        <v>278</v>
      </c>
      <c r="H490" s="2" t="s">
        <v>278</v>
      </c>
      <c r="I490" s="2">
        <v>0.2</v>
      </c>
    </row>
    <row r="491" spans="1:9">
      <c r="A491" s="3" t="s">
        <v>523</v>
      </c>
      <c r="B491" s="3">
        <v>2000000</v>
      </c>
      <c r="C491" s="3" t="s">
        <v>23</v>
      </c>
      <c r="D491" s="3">
        <v>0</v>
      </c>
      <c r="E491" s="3">
        <v>1</v>
      </c>
      <c r="F491" s="3"/>
      <c r="G491" s="3" t="s">
        <v>278</v>
      </c>
      <c r="H491" s="3" t="s">
        <v>278</v>
      </c>
      <c r="I491" s="3">
        <v>0.2</v>
      </c>
    </row>
    <row r="492" spans="1:9">
      <c r="A492" s="2" t="s">
        <v>524</v>
      </c>
      <c r="B492" s="2">
        <v>2000000</v>
      </c>
      <c r="C492" s="2" t="s">
        <v>10</v>
      </c>
      <c r="D492" s="2">
        <v>0</v>
      </c>
      <c r="E492" s="2">
        <v>1</v>
      </c>
      <c r="F492" s="2"/>
      <c r="G492" s="2" t="s">
        <v>278</v>
      </c>
      <c r="H492" s="2" t="s">
        <v>278</v>
      </c>
      <c r="I492" s="2">
        <v>0.2</v>
      </c>
    </row>
    <row r="493" spans="1:9">
      <c r="A493" s="3" t="s">
        <v>525</v>
      </c>
      <c r="B493" s="3">
        <v>2000000</v>
      </c>
      <c r="C493" s="3" t="s">
        <v>10</v>
      </c>
      <c r="D493" s="3">
        <v>0</v>
      </c>
      <c r="E493" s="3">
        <v>1</v>
      </c>
      <c r="F493" s="3"/>
      <c r="G493" s="3" t="s">
        <v>278</v>
      </c>
      <c r="H493" s="3" t="s">
        <v>278</v>
      </c>
      <c r="I493" s="3">
        <v>0.2</v>
      </c>
    </row>
    <row r="494" spans="1:9">
      <c r="A494" s="2" t="s">
        <v>526</v>
      </c>
      <c r="B494" s="2">
        <v>2000000</v>
      </c>
      <c r="C494" s="2" t="s">
        <v>10</v>
      </c>
      <c r="D494" s="2">
        <v>0</v>
      </c>
      <c r="E494" s="2">
        <v>1</v>
      </c>
      <c r="F494" s="2"/>
      <c r="G494" s="2" t="s">
        <v>278</v>
      </c>
      <c r="H494" s="2" t="s">
        <v>278</v>
      </c>
      <c r="I494" s="2">
        <v>0.2</v>
      </c>
    </row>
    <row r="495" spans="1:9">
      <c r="A495" s="3" t="s">
        <v>527</v>
      </c>
      <c r="B495" s="3">
        <v>2000000</v>
      </c>
      <c r="C495" s="3" t="s">
        <v>10</v>
      </c>
      <c r="D495" s="3">
        <v>0</v>
      </c>
      <c r="E495" s="3">
        <v>1</v>
      </c>
      <c r="F495" s="3"/>
      <c r="G495" s="3" t="s">
        <v>278</v>
      </c>
      <c r="H495" s="3" t="s">
        <v>278</v>
      </c>
      <c r="I495" s="3">
        <v>0.2</v>
      </c>
    </row>
    <row r="496" spans="1:9">
      <c r="A496" s="2" t="s">
        <v>528</v>
      </c>
      <c r="B496" s="2">
        <v>2000000</v>
      </c>
      <c r="C496" s="2" t="s">
        <v>10</v>
      </c>
      <c r="D496" s="2">
        <v>0</v>
      </c>
      <c r="E496" s="2">
        <v>1</v>
      </c>
      <c r="F496" s="2"/>
      <c r="G496" s="2" t="s">
        <v>278</v>
      </c>
      <c r="H496" s="2" t="s">
        <v>278</v>
      </c>
      <c r="I496" s="2">
        <v>0.2</v>
      </c>
    </row>
    <row r="497" spans="1:9">
      <c r="A497" s="3" t="s">
        <v>529</v>
      </c>
      <c r="B497" s="3">
        <v>2000000</v>
      </c>
      <c r="C497" s="3" t="s">
        <v>10</v>
      </c>
      <c r="D497" s="3">
        <v>0</v>
      </c>
      <c r="E497" s="3">
        <v>1</v>
      </c>
      <c r="F497" s="3"/>
      <c r="G497" s="3" t="s">
        <v>278</v>
      </c>
      <c r="H497" s="3" t="s">
        <v>278</v>
      </c>
      <c r="I497" s="3">
        <v>0.2</v>
      </c>
    </row>
    <row r="498" spans="1:9">
      <c r="A498" s="2" t="s">
        <v>530</v>
      </c>
      <c r="B498" s="2">
        <v>2000000</v>
      </c>
      <c r="C498" s="2" t="s">
        <v>10</v>
      </c>
      <c r="D498" s="2">
        <v>0</v>
      </c>
      <c r="E498" s="2">
        <v>1</v>
      </c>
      <c r="F498" s="2"/>
      <c r="G498" s="2" t="s">
        <v>278</v>
      </c>
      <c r="H498" s="2" t="s">
        <v>278</v>
      </c>
      <c r="I498" s="2">
        <v>0.2</v>
      </c>
    </row>
    <row r="499" spans="1:9">
      <c r="A499" s="3" t="s">
        <v>531</v>
      </c>
      <c r="B499" s="3">
        <v>2000000</v>
      </c>
      <c r="C499" s="3" t="s">
        <v>10</v>
      </c>
      <c r="D499" s="3">
        <v>0</v>
      </c>
      <c r="E499" s="3">
        <v>1</v>
      </c>
      <c r="F499" s="3"/>
      <c r="G499" s="3" t="s">
        <v>278</v>
      </c>
      <c r="H499" s="3" t="s">
        <v>278</v>
      </c>
      <c r="I499" s="3">
        <v>0.2</v>
      </c>
    </row>
    <row r="500" spans="1:9">
      <c r="A500" s="2" t="s">
        <v>532</v>
      </c>
      <c r="B500" s="2">
        <v>2000000</v>
      </c>
      <c r="C500" s="2" t="s">
        <v>10</v>
      </c>
      <c r="D500" s="2">
        <v>0</v>
      </c>
      <c r="E500" s="2">
        <v>1</v>
      </c>
      <c r="F500" s="2"/>
      <c r="G500" s="2" t="s">
        <v>278</v>
      </c>
      <c r="H500" s="2" t="s">
        <v>278</v>
      </c>
      <c r="I500" s="2">
        <v>0.2</v>
      </c>
    </row>
    <row r="501" spans="1:9">
      <c r="A501" s="3" t="s">
        <v>533</v>
      </c>
      <c r="B501" s="3">
        <v>2000000</v>
      </c>
      <c r="C501" s="3" t="s">
        <v>10</v>
      </c>
      <c r="D501" s="3">
        <v>0</v>
      </c>
      <c r="E501" s="3">
        <v>1</v>
      </c>
      <c r="F501" s="3"/>
      <c r="G501" s="3" t="s">
        <v>278</v>
      </c>
      <c r="H501" s="3" t="s">
        <v>278</v>
      </c>
      <c r="I501" s="3">
        <v>0.2</v>
      </c>
    </row>
    <row r="502" spans="1:9">
      <c r="A502" s="2" t="s">
        <v>534</v>
      </c>
      <c r="B502" s="2">
        <v>2000000</v>
      </c>
      <c r="C502" s="2" t="s">
        <v>10</v>
      </c>
      <c r="D502" s="2">
        <v>0</v>
      </c>
      <c r="E502" s="2">
        <v>1</v>
      </c>
      <c r="F502" s="2"/>
      <c r="G502" s="2" t="s">
        <v>278</v>
      </c>
      <c r="H502" s="2" t="s">
        <v>278</v>
      </c>
      <c r="I502" s="2">
        <v>0.2</v>
      </c>
    </row>
    <row r="503" spans="1:9">
      <c r="A503" s="3" t="s">
        <v>535</v>
      </c>
      <c r="B503" s="3">
        <v>2000000</v>
      </c>
      <c r="C503" s="3" t="s">
        <v>23</v>
      </c>
      <c r="D503" s="3">
        <v>0</v>
      </c>
      <c r="E503" s="3">
        <v>1</v>
      </c>
      <c r="F503" s="3"/>
      <c r="G503" s="3" t="s">
        <v>278</v>
      </c>
      <c r="H503" s="3" t="s">
        <v>278</v>
      </c>
      <c r="I503" s="3">
        <v>0.2</v>
      </c>
    </row>
    <row r="504" spans="1:9">
      <c r="A504" s="2" t="s">
        <v>536</v>
      </c>
      <c r="B504" s="2">
        <v>2000000</v>
      </c>
      <c r="C504" s="2" t="s">
        <v>23</v>
      </c>
      <c r="D504" s="2">
        <v>0</v>
      </c>
      <c r="E504" s="2">
        <v>1</v>
      </c>
      <c r="F504" s="2"/>
      <c r="G504" s="2" t="s">
        <v>278</v>
      </c>
      <c r="H504" s="2" t="s">
        <v>278</v>
      </c>
      <c r="I504" s="2">
        <v>0.2</v>
      </c>
    </row>
    <row r="505" spans="1:9">
      <c r="A505" s="3" t="s">
        <v>537</v>
      </c>
      <c r="B505" s="3">
        <v>2000000</v>
      </c>
      <c r="C505" s="3" t="s">
        <v>23</v>
      </c>
      <c r="D505" s="3">
        <v>0</v>
      </c>
      <c r="E505" s="3">
        <v>1</v>
      </c>
      <c r="F505" s="3"/>
      <c r="G505" s="3" t="s">
        <v>278</v>
      </c>
      <c r="H505" s="3" t="s">
        <v>278</v>
      </c>
      <c r="I505" s="3">
        <v>0.2</v>
      </c>
    </row>
    <row r="506" spans="1:9">
      <c r="A506" s="2" t="s">
        <v>538</v>
      </c>
      <c r="B506" s="2">
        <v>2000000</v>
      </c>
      <c r="C506" s="2" t="s">
        <v>23</v>
      </c>
      <c r="D506" s="2">
        <v>0</v>
      </c>
      <c r="E506" s="2">
        <v>1</v>
      </c>
      <c r="F506" s="2"/>
      <c r="G506" s="2" t="s">
        <v>278</v>
      </c>
      <c r="H506" s="2" t="s">
        <v>278</v>
      </c>
      <c r="I506" s="2">
        <v>0.2</v>
      </c>
    </row>
    <row r="507" spans="1:9">
      <c r="A507" s="3" t="s">
        <v>539</v>
      </c>
      <c r="B507" s="3">
        <v>2000000</v>
      </c>
      <c r="C507" s="3" t="s">
        <v>23</v>
      </c>
      <c r="D507" s="3">
        <v>0</v>
      </c>
      <c r="E507" s="3">
        <v>1</v>
      </c>
      <c r="F507" s="3"/>
      <c r="G507" s="3" t="s">
        <v>278</v>
      </c>
      <c r="H507" s="3" t="s">
        <v>278</v>
      </c>
      <c r="I507" s="3">
        <v>0.2</v>
      </c>
    </row>
    <row r="508" spans="1:9">
      <c r="A508" s="2" t="s">
        <v>540</v>
      </c>
      <c r="B508" s="2">
        <v>2000000</v>
      </c>
      <c r="C508" s="2" t="s">
        <v>23</v>
      </c>
      <c r="D508" s="2">
        <v>0</v>
      </c>
      <c r="E508" s="2">
        <v>1</v>
      </c>
      <c r="F508" s="2"/>
      <c r="G508" s="2" t="s">
        <v>278</v>
      </c>
      <c r="H508" s="2" t="s">
        <v>278</v>
      </c>
      <c r="I508" s="2">
        <v>0.2</v>
      </c>
    </row>
    <row r="509" spans="1:9">
      <c r="A509" s="3" t="s">
        <v>541</v>
      </c>
      <c r="B509" s="3">
        <v>2000000</v>
      </c>
      <c r="C509" s="3" t="s">
        <v>23</v>
      </c>
      <c r="D509" s="3">
        <v>0</v>
      </c>
      <c r="E509" s="3">
        <v>1</v>
      </c>
      <c r="F509" s="3"/>
      <c r="G509" s="3" t="s">
        <v>278</v>
      </c>
      <c r="H509" s="3" t="s">
        <v>278</v>
      </c>
      <c r="I509" s="3">
        <v>0.2</v>
      </c>
    </row>
    <row r="510" spans="1:9">
      <c r="A510" s="2" t="s">
        <v>542</v>
      </c>
      <c r="B510" s="2">
        <v>2000000</v>
      </c>
      <c r="C510" s="2" t="s">
        <v>23</v>
      </c>
      <c r="D510" s="2">
        <v>0</v>
      </c>
      <c r="E510" s="2">
        <v>1</v>
      </c>
      <c r="F510" s="2"/>
      <c r="G510" s="2" t="s">
        <v>278</v>
      </c>
      <c r="H510" s="2" t="s">
        <v>278</v>
      </c>
      <c r="I510" s="2">
        <v>0.2</v>
      </c>
    </row>
    <row r="511" spans="1:9">
      <c r="A511" s="3" t="s">
        <v>543</v>
      </c>
      <c r="B511" s="3">
        <v>2000000</v>
      </c>
      <c r="C511" s="3" t="s">
        <v>23</v>
      </c>
      <c r="D511" s="3">
        <v>0</v>
      </c>
      <c r="E511" s="3">
        <v>1</v>
      </c>
      <c r="F511" s="3"/>
      <c r="G511" s="3" t="s">
        <v>278</v>
      </c>
      <c r="H511" s="3" t="s">
        <v>278</v>
      </c>
      <c r="I511" s="3">
        <v>0.2</v>
      </c>
    </row>
    <row r="512" spans="1:9">
      <c r="A512" s="2" t="s">
        <v>544</v>
      </c>
      <c r="B512" s="2">
        <v>2000000</v>
      </c>
      <c r="C512" s="2" t="s">
        <v>23</v>
      </c>
      <c r="D512" s="2">
        <v>0</v>
      </c>
      <c r="E512" s="2">
        <v>1</v>
      </c>
      <c r="F512" s="2"/>
      <c r="G512" s="2" t="s">
        <v>278</v>
      </c>
      <c r="H512" s="2" t="s">
        <v>278</v>
      </c>
      <c r="I512" s="2">
        <v>0.2</v>
      </c>
    </row>
    <row r="513" spans="1:9">
      <c r="A513" s="3" t="s">
        <v>545</v>
      </c>
      <c r="B513" s="3">
        <v>2000000</v>
      </c>
      <c r="C513" s="3" t="s">
        <v>10</v>
      </c>
      <c r="D513" s="3">
        <v>0</v>
      </c>
      <c r="E513" s="3">
        <v>1</v>
      </c>
      <c r="F513" s="3"/>
      <c r="G513" s="3" t="s">
        <v>278</v>
      </c>
      <c r="H513" s="3" t="s">
        <v>278</v>
      </c>
      <c r="I513" s="3">
        <v>0.2</v>
      </c>
    </row>
    <row r="514" spans="1:9">
      <c r="A514" s="2" t="s">
        <v>546</v>
      </c>
      <c r="B514" s="2">
        <v>2000000</v>
      </c>
      <c r="C514" s="2" t="s">
        <v>10</v>
      </c>
      <c r="D514" s="2">
        <v>0</v>
      </c>
      <c r="E514" s="2">
        <v>1</v>
      </c>
      <c r="F514" s="2"/>
      <c r="G514" s="2" t="s">
        <v>278</v>
      </c>
      <c r="H514" s="2" t="s">
        <v>278</v>
      </c>
      <c r="I514" s="2">
        <v>0.2</v>
      </c>
    </row>
    <row r="515" spans="1:9">
      <c r="A515" s="3" t="s">
        <v>547</v>
      </c>
      <c r="B515" s="3">
        <v>2000000</v>
      </c>
      <c r="C515" s="3" t="s">
        <v>10</v>
      </c>
      <c r="D515" s="3">
        <v>0</v>
      </c>
      <c r="E515" s="3">
        <v>1</v>
      </c>
      <c r="F515" s="3"/>
      <c r="G515" s="3" t="s">
        <v>278</v>
      </c>
      <c r="H515" s="3" t="s">
        <v>278</v>
      </c>
      <c r="I515" s="3">
        <v>0.2</v>
      </c>
    </row>
    <row r="516" spans="1:9">
      <c r="A516" s="2" t="s">
        <v>548</v>
      </c>
      <c r="B516" s="2">
        <v>2000000</v>
      </c>
      <c r="C516" s="2" t="s">
        <v>10</v>
      </c>
      <c r="D516" s="2">
        <v>0</v>
      </c>
      <c r="E516" s="2">
        <v>1</v>
      </c>
      <c r="F516" s="2"/>
      <c r="G516" s="2" t="s">
        <v>278</v>
      </c>
      <c r="H516" s="2" t="s">
        <v>278</v>
      </c>
      <c r="I516" s="2">
        <v>0.2</v>
      </c>
    </row>
    <row r="517" spans="1:9">
      <c r="A517" s="3" t="s">
        <v>549</v>
      </c>
      <c r="B517" s="3">
        <v>2000000</v>
      </c>
      <c r="C517" s="3" t="s">
        <v>10</v>
      </c>
      <c r="D517" s="3">
        <v>0</v>
      </c>
      <c r="E517" s="3">
        <v>1</v>
      </c>
      <c r="F517" s="3"/>
      <c r="G517" s="3" t="s">
        <v>278</v>
      </c>
      <c r="H517" s="3" t="s">
        <v>278</v>
      </c>
      <c r="I517" s="3">
        <v>0.2</v>
      </c>
    </row>
    <row r="518" spans="1:9">
      <c r="A518" s="2" t="s">
        <v>550</v>
      </c>
      <c r="B518" s="2">
        <v>2000000</v>
      </c>
      <c r="C518" s="2" t="s">
        <v>10</v>
      </c>
      <c r="D518" s="2">
        <v>0</v>
      </c>
      <c r="E518" s="2">
        <v>1</v>
      </c>
      <c r="F518" s="2"/>
      <c r="G518" s="2" t="s">
        <v>278</v>
      </c>
      <c r="H518" s="2" t="s">
        <v>278</v>
      </c>
      <c r="I518" s="2">
        <v>0.2</v>
      </c>
    </row>
    <row r="519" spans="1:9">
      <c r="A519" s="3" t="s">
        <v>551</v>
      </c>
      <c r="B519" s="3">
        <v>2000000</v>
      </c>
      <c r="C519" s="3" t="s">
        <v>10</v>
      </c>
      <c r="D519" s="3">
        <v>0</v>
      </c>
      <c r="E519" s="3">
        <v>1</v>
      </c>
      <c r="F519" s="3"/>
      <c r="G519" s="3" t="s">
        <v>278</v>
      </c>
      <c r="H519" s="3" t="s">
        <v>278</v>
      </c>
      <c r="I519" s="3">
        <v>0.2</v>
      </c>
    </row>
    <row r="520" spans="1:9">
      <c r="A520" s="2" t="s">
        <v>552</v>
      </c>
      <c r="B520" s="2">
        <v>2000000</v>
      </c>
      <c r="C520" s="2" t="s">
        <v>10</v>
      </c>
      <c r="D520" s="2">
        <v>0</v>
      </c>
      <c r="E520" s="2">
        <v>1</v>
      </c>
      <c r="F520" s="2"/>
      <c r="G520" s="2" t="s">
        <v>278</v>
      </c>
      <c r="H520" s="2" t="s">
        <v>278</v>
      </c>
      <c r="I520" s="2">
        <v>0.2</v>
      </c>
    </row>
    <row r="521" spans="1:9">
      <c r="A521" s="3" t="s">
        <v>553</v>
      </c>
      <c r="B521" s="3">
        <v>2000000</v>
      </c>
      <c r="C521" s="3" t="s">
        <v>10</v>
      </c>
      <c r="D521" s="3">
        <v>0</v>
      </c>
      <c r="E521" s="3">
        <v>1</v>
      </c>
      <c r="F521" s="3"/>
      <c r="G521" s="3" t="s">
        <v>278</v>
      </c>
      <c r="H521" s="3" t="s">
        <v>278</v>
      </c>
      <c r="I521" s="3">
        <v>0.2</v>
      </c>
    </row>
    <row r="522" spans="1:9">
      <c r="A522" s="2" t="s">
        <v>554</v>
      </c>
      <c r="B522" s="2">
        <v>2000000</v>
      </c>
      <c r="C522" s="2" t="s">
        <v>10</v>
      </c>
      <c r="D522" s="2">
        <v>0</v>
      </c>
      <c r="E522" s="2">
        <v>1</v>
      </c>
      <c r="F522" s="2"/>
      <c r="G522" s="2" t="s">
        <v>278</v>
      </c>
      <c r="H522" s="2" t="s">
        <v>278</v>
      </c>
      <c r="I522" s="2">
        <v>0.2</v>
      </c>
    </row>
    <row r="523" spans="1:9">
      <c r="A523" s="3" t="s">
        <v>555</v>
      </c>
      <c r="B523" s="3">
        <v>2000000</v>
      </c>
      <c r="C523" s="3" t="s">
        <v>10</v>
      </c>
      <c r="D523" s="3">
        <v>0</v>
      </c>
      <c r="E523" s="3">
        <v>1</v>
      </c>
      <c r="F523" s="3"/>
      <c r="G523" s="3" t="s">
        <v>278</v>
      </c>
      <c r="H523" s="3" t="s">
        <v>278</v>
      </c>
      <c r="I523" s="3">
        <v>0.2</v>
      </c>
    </row>
    <row r="524" spans="1:9">
      <c r="A524" s="2" t="s">
        <v>556</v>
      </c>
      <c r="B524" s="2">
        <v>2000000</v>
      </c>
      <c r="C524" s="2" t="s">
        <v>10</v>
      </c>
      <c r="D524" s="2">
        <v>0</v>
      </c>
      <c r="E524" s="2">
        <v>1</v>
      </c>
      <c r="F524" s="2"/>
      <c r="G524" s="2" t="s">
        <v>278</v>
      </c>
      <c r="H524" s="2" t="s">
        <v>278</v>
      </c>
      <c r="I524" s="2">
        <v>0.2</v>
      </c>
    </row>
    <row r="525" spans="1:9">
      <c r="A525" s="3" t="s">
        <v>557</v>
      </c>
      <c r="B525" s="3">
        <v>2000000</v>
      </c>
      <c r="C525" s="3" t="s">
        <v>23</v>
      </c>
      <c r="D525" s="3">
        <v>0</v>
      </c>
      <c r="E525" s="3">
        <v>1</v>
      </c>
      <c r="F525" s="3"/>
      <c r="G525" s="3" t="s">
        <v>278</v>
      </c>
      <c r="H525" s="3" t="s">
        <v>278</v>
      </c>
      <c r="I525" s="3">
        <v>0.2</v>
      </c>
    </row>
    <row r="526" spans="1:9">
      <c r="A526" s="2" t="s">
        <v>558</v>
      </c>
      <c r="B526" s="2">
        <v>2000000</v>
      </c>
      <c r="C526" s="2" t="s">
        <v>23</v>
      </c>
      <c r="D526" s="2">
        <v>0</v>
      </c>
      <c r="E526" s="2">
        <v>1</v>
      </c>
      <c r="F526" s="2"/>
      <c r="G526" s="2" t="s">
        <v>278</v>
      </c>
      <c r="H526" s="2" t="s">
        <v>278</v>
      </c>
      <c r="I526" s="2">
        <v>0.2</v>
      </c>
    </row>
    <row r="527" spans="1:9">
      <c r="A527" s="3" t="s">
        <v>559</v>
      </c>
      <c r="B527" s="3">
        <v>2000000</v>
      </c>
      <c r="C527" s="3" t="s">
        <v>23</v>
      </c>
      <c r="D527" s="3">
        <v>0</v>
      </c>
      <c r="E527" s="3">
        <v>1</v>
      </c>
      <c r="F527" s="3"/>
      <c r="G527" s="3" t="s">
        <v>278</v>
      </c>
      <c r="H527" s="3" t="s">
        <v>278</v>
      </c>
      <c r="I527" s="3">
        <v>0.2</v>
      </c>
    </row>
    <row r="528" spans="1:9">
      <c r="A528" s="2" t="s">
        <v>560</v>
      </c>
      <c r="B528" s="2">
        <v>2000000</v>
      </c>
      <c r="C528" s="2" t="s">
        <v>23</v>
      </c>
      <c r="D528" s="2">
        <v>0</v>
      </c>
      <c r="E528" s="2">
        <v>1</v>
      </c>
      <c r="F528" s="2"/>
      <c r="G528" s="2" t="s">
        <v>278</v>
      </c>
      <c r="H528" s="2" t="s">
        <v>278</v>
      </c>
      <c r="I528" s="2">
        <v>0.2</v>
      </c>
    </row>
    <row r="529" spans="1:9">
      <c r="A529" s="3" t="s">
        <v>561</v>
      </c>
      <c r="B529" s="3">
        <v>2000000</v>
      </c>
      <c r="C529" s="3" t="s">
        <v>23</v>
      </c>
      <c r="D529" s="3">
        <v>0</v>
      </c>
      <c r="E529" s="3">
        <v>1</v>
      </c>
      <c r="F529" s="3"/>
      <c r="G529" s="3" t="s">
        <v>278</v>
      </c>
      <c r="H529" s="3" t="s">
        <v>278</v>
      </c>
      <c r="I529" s="3">
        <v>0.2</v>
      </c>
    </row>
    <row r="530" spans="1:9">
      <c r="A530" s="2" t="s">
        <v>562</v>
      </c>
      <c r="B530" s="2">
        <v>2000000</v>
      </c>
      <c r="C530" s="2" t="s">
        <v>23</v>
      </c>
      <c r="D530" s="2">
        <v>0</v>
      </c>
      <c r="E530" s="2">
        <v>1</v>
      </c>
      <c r="F530" s="2"/>
      <c r="G530" s="2" t="s">
        <v>278</v>
      </c>
      <c r="H530" s="2" t="s">
        <v>278</v>
      </c>
      <c r="I530" s="2">
        <v>0.2</v>
      </c>
    </row>
    <row r="531" spans="1:9">
      <c r="A531" s="3" t="s">
        <v>563</v>
      </c>
      <c r="B531" s="3">
        <v>2000000</v>
      </c>
      <c r="C531" s="3" t="s">
        <v>23</v>
      </c>
      <c r="D531" s="3">
        <v>0</v>
      </c>
      <c r="E531" s="3">
        <v>1</v>
      </c>
      <c r="F531" s="3"/>
      <c r="G531" s="3" t="s">
        <v>278</v>
      </c>
      <c r="H531" s="3" t="s">
        <v>278</v>
      </c>
      <c r="I531" s="3">
        <v>0.2</v>
      </c>
    </row>
    <row r="532" spans="1:9">
      <c r="A532" s="2" t="s">
        <v>564</v>
      </c>
      <c r="B532" s="2">
        <v>2000000</v>
      </c>
      <c r="C532" s="2" t="s">
        <v>23</v>
      </c>
      <c r="D532" s="2">
        <v>0</v>
      </c>
      <c r="E532" s="2">
        <v>1</v>
      </c>
      <c r="F532" s="2"/>
      <c r="G532" s="2" t="s">
        <v>278</v>
      </c>
      <c r="H532" s="2" t="s">
        <v>278</v>
      </c>
      <c r="I532" s="2">
        <v>0.2</v>
      </c>
    </row>
    <row r="533" spans="1:9">
      <c r="A533" s="3" t="s">
        <v>565</v>
      </c>
      <c r="B533" s="3">
        <v>2000000</v>
      </c>
      <c r="C533" s="3" t="s">
        <v>23</v>
      </c>
      <c r="D533" s="3">
        <v>0</v>
      </c>
      <c r="E533" s="3">
        <v>1</v>
      </c>
      <c r="F533" s="3"/>
      <c r="G533" s="3" t="s">
        <v>278</v>
      </c>
      <c r="H533" s="3" t="s">
        <v>278</v>
      </c>
      <c r="I533" s="3">
        <v>0.2</v>
      </c>
    </row>
    <row r="534" spans="1:9">
      <c r="A534" s="2" t="s">
        <v>566</v>
      </c>
      <c r="B534" s="2">
        <v>2000000</v>
      </c>
      <c r="C534" s="2" t="s">
        <v>23</v>
      </c>
      <c r="D534" s="2">
        <v>0</v>
      </c>
      <c r="E534" s="2">
        <v>1</v>
      </c>
      <c r="F534" s="2"/>
      <c r="G534" s="2" t="s">
        <v>278</v>
      </c>
      <c r="H534" s="2" t="s">
        <v>278</v>
      </c>
      <c r="I534" s="2">
        <v>0.2</v>
      </c>
    </row>
    <row r="535" spans="1:9">
      <c r="A535" s="3" t="s">
        <v>567</v>
      </c>
      <c r="B535" s="3">
        <v>2000000</v>
      </c>
      <c r="C535" s="3" t="s">
        <v>23</v>
      </c>
      <c r="D535" s="3">
        <v>0</v>
      </c>
      <c r="E535" s="3">
        <v>1</v>
      </c>
      <c r="F535" s="3"/>
      <c r="G535" s="3" t="s">
        <v>278</v>
      </c>
      <c r="H535" s="3" t="s">
        <v>278</v>
      </c>
      <c r="I535" s="3">
        <v>0.2</v>
      </c>
    </row>
    <row r="536" spans="1:9">
      <c r="A536" s="2" t="s">
        <v>427</v>
      </c>
      <c r="B536" s="2">
        <v>2000000</v>
      </c>
      <c r="C536" s="2" t="s">
        <v>23</v>
      </c>
      <c r="D536" s="2">
        <v>0</v>
      </c>
      <c r="E536" s="2">
        <v>1</v>
      </c>
      <c r="F536" s="2"/>
      <c r="G536" s="2" t="s">
        <v>278</v>
      </c>
      <c r="H536" s="2" t="s">
        <v>278</v>
      </c>
      <c r="I536" s="2">
        <v>0.2</v>
      </c>
    </row>
    <row r="537" spans="1:9">
      <c r="A537" s="3" t="s">
        <v>568</v>
      </c>
      <c r="B537" s="3">
        <v>2000000</v>
      </c>
      <c r="C537" s="3" t="s">
        <v>23</v>
      </c>
      <c r="D537" s="3">
        <v>0</v>
      </c>
      <c r="E537" s="3">
        <v>1</v>
      </c>
      <c r="F537" s="3"/>
      <c r="G537" s="3" t="s">
        <v>278</v>
      </c>
      <c r="H537" s="3" t="s">
        <v>278</v>
      </c>
      <c r="I537" s="3">
        <v>0.2</v>
      </c>
    </row>
    <row r="538" spans="1:9">
      <c r="A538" s="2" t="s">
        <v>569</v>
      </c>
      <c r="B538" s="2">
        <v>2000000</v>
      </c>
      <c r="C538" s="2" t="s">
        <v>23</v>
      </c>
      <c r="D538" s="2">
        <v>0</v>
      </c>
      <c r="E538" s="2">
        <v>1</v>
      </c>
      <c r="F538" s="2" t="s">
        <v>235</v>
      </c>
      <c r="G538" s="2" t="s">
        <v>278</v>
      </c>
      <c r="H538" s="2" t="s">
        <v>278</v>
      </c>
      <c r="I538" s="2">
        <v>0.2</v>
      </c>
    </row>
    <row r="539" spans="1:9">
      <c r="A539" s="3" t="s">
        <v>570</v>
      </c>
      <c r="B539" s="3">
        <v>4000000</v>
      </c>
      <c r="C539" s="3" t="s">
        <v>23</v>
      </c>
      <c r="D539" s="3">
        <v>0</v>
      </c>
      <c r="E539" s="3">
        <v>1</v>
      </c>
      <c r="F539" s="3" t="s">
        <v>24</v>
      </c>
      <c r="G539" s="3" t="s">
        <v>278</v>
      </c>
      <c r="H539" s="3" t="s">
        <v>278</v>
      </c>
      <c r="I539" s="3">
        <v>0.4</v>
      </c>
    </row>
    <row r="540" spans="1:9">
      <c r="A540" s="2" t="s">
        <v>571</v>
      </c>
      <c r="B540" s="2">
        <v>2000000</v>
      </c>
      <c r="C540" s="2" t="s">
        <v>23</v>
      </c>
      <c r="D540" s="2">
        <v>0</v>
      </c>
      <c r="E540" s="2">
        <v>1</v>
      </c>
      <c r="F540" s="2"/>
      <c r="G540" s="2" t="s">
        <v>278</v>
      </c>
      <c r="H540" s="2" t="s">
        <v>278</v>
      </c>
      <c r="I540" s="2">
        <v>0.2</v>
      </c>
    </row>
    <row r="541" spans="1:9">
      <c r="A541" s="3" t="s">
        <v>572</v>
      </c>
      <c r="B541" s="3">
        <v>2000000</v>
      </c>
      <c r="C541" s="3" t="s">
        <v>23</v>
      </c>
      <c r="D541" s="3">
        <v>0</v>
      </c>
      <c r="E541" s="3">
        <v>1</v>
      </c>
      <c r="F541" s="3"/>
      <c r="G541" s="3" t="s">
        <v>278</v>
      </c>
      <c r="H541" s="3" t="s">
        <v>278</v>
      </c>
      <c r="I541" s="3">
        <v>0.2</v>
      </c>
    </row>
    <row r="542" spans="1:9">
      <c r="A542" s="2" t="s">
        <v>573</v>
      </c>
      <c r="B542" s="2">
        <v>2000000</v>
      </c>
      <c r="C542" s="2" t="s">
        <v>23</v>
      </c>
      <c r="D542" s="2">
        <v>0</v>
      </c>
      <c r="E542" s="2">
        <v>1</v>
      </c>
      <c r="F542" s="2"/>
      <c r="G542" s="2" t="s">
        <v>278</v>
      </c>
      <c r="H542" s="2" t="s">
        <v>278</v>
      </c>
      <c r="I542" s="2">
        <v>0.2</v>
      </c>
    </row>
    <row r="543" spans="1:9">
      <c r="A543" s="3" t="s">
        <v>574</v>
      </c>
      <c r="B543" s="3">
        <v>2000000</v>
      </c>
      <c r="C543" s="3" t="s">
        <v>23</v>
      </c>
      <c r="D543" s="3">
        <v>0</v>
      </c>
      <c r="E543" s="3">
        <v>1</v>
      </c>
      <c r="F543" s="3"/>
      <c r="G543" s="3" t="s">
        <v>278</v>
      </c>
      <c r="H543" s="3" t="s">
        <v>278</v>
      </c>
      <c r="I543" s="3">
        <v>0.2</v>
      </c>
    </row>
    <row r="544" spans="1:9">
      <c r="A544" s="2" t="s">
        <v>361</v>
      </c>
      <c r="B544" s="2">
        <v>2000000</v>
      </c>
      <c r="C544" s="2" t="s">
        <v>23</v>
      </c>
      <c r="D544" s="2">
        <v>0</v>
      </c>
      <c r="E544" s="2">
        <v>1</v>
      </c>
      <c r="F544" s="2"/>
      <c r="G544" s="2" t="s">
        <v>278</v>
      </c>
      <c r="H544" s="2" t="s">
        <v>278</v>
      </c>
      <c r="I544" s="2">
        <v>0.2</v>
      </c>
    </row>
    <row r="545" spans="1:9">
      <c r="A545" s="3" t="s">
        <v>575</v>
      </c>
      <c r="B545" s="3">
        <v>2000000</v>
      </c>
      <c r="C545" s="3" t="s">
        <v>23</v>
      </c>
      <c r="D545" s="3">
        <v>0</v>
      </c>
      <c r="E545" s="3">
        <v>1</v>
      </c>
      <c r="F545" s="3"/>
      <c r="G545" s="3" t="s">
        <v>278</v>
      </c>
      <c r="H545" s="3" t="s">
        <v>278</v>
      </c>
      <c r="I545" s="3">
        <v>0.2</v>
      </c>
    </row>
    <row r="546" spans="1:9">
      <c r="A546" s="2" t="s">
        <v>576</v>
      </c>
      <c r="B546" s="2">
        <v>2000000</v>
      </c>
      <c r="C546" s="2" t="s">
        <v>23</v>
      </c>
      <c r="D546" s="2">
        <v>0</v>
      </c>
      <c r="E546" s="2">
        <v>1</v>
      </c>
      <c r="F546" s="2"/>
      <c r="G546" s="2" t="s">
        <v>278</v>
      </c>
      <c r="H546" s="2" t="s">
        <v>278</v>
      </c>
      <c r="I546" s="2">
        <v>0.2</v>
      </c>
    </row>
    <row r="547" spans="1:9">
      <c r="A547" s="3" t="s">
        <v>577</v>
      </c>
      <c r="B547" s="3">
        <v>2000000</v>
      </c>
      <c r="C547" s="3" t="s">
        <v>23</v>
      </c>
      <c r="D547" s="3">
        <v>0</v>
      </c>
      <c r="E547" s="3">
        <v>1</v>
      </c>
      <c r="F547" s="3"/>
      <c r="G547" s="3" t="s">
        <v>278</v>
      </c>
      <c r="H547" s="3" t="s">
        <v>278</v>
      </c>
      <c r="I547" s="3">
        <v>0.2</v>
      </c>
    </row>
    <row r="548" spans="1:9">
      <c r="A548" s="2" t="s">
        <v>578</v>
      </c>
      <c r="B548" s="2">
        <v>2000000</v>
      </c>
      <c r="C548" s="2" t="s">
        <v>23</v>
      </c>
      <c r="D548" s="2">
        <v>0</v>
      </c>
      <c r="E548" s="2">
        <v>1</v>
      </c>
      <c r="F548" s="2"/>
      <c r="G548" s="2" t="s">
        <v>278</v>
      </c>
      <c r="H548" s="2" t="s">
        <v>278</v>
      </c>
      <c r="I548" s="2">
        <v>0.2</v>
      </c>
    </row>
    <row r="549" spans="1:9">
      <c r="A549" s="3" t="s">
        <v>579</v>
      </c>
      <c r="B549" s="3">
        <v>2000000</v>
      </c>
      <c r="C549" s="3" t="s">
        <v>23</v>
      </c>
      <c r="D549" s="3">
        <v>0</v>
      </c>
      <c r="E549" s="3">
        <v>1</v>
      </c>
      <c r="F549" s="3"/>
      <c r="G549" s="3" t="s">
        <v>278</v>
      </c>
      <c r="H549" s="3" t="s">
        <v>278</v>
      </c>
      <c r="I549" s="3">
        <v>0.2</v>
      </c>
    </row>
    <row r="550" spans="1:9">
      <c r="A550" s="2" t="s">
        <v>580</v>
      </c>
      <c r="B550" s="2">
        <v>2000000</v>
      </c>
      <c r="C550" s="2" t="s">
        <v>23</v>
      </c>
      <c r="D550" s="2">
        <v>0</v>
      </c>
      <c r="E550" s="2">
        <v>1</v>
      </c>
      <c r="F550" s="2"/>
      <c r="G550" s="2" t="s">
        <v>278</v>
      </c>
      <c r="H550" s="2" t="s">
        <v>278</v>
      </c>
      <c r="I550" s="2">
        <v>0.2</v>
      </c>
    </row>
    <row r="551" spans="1:9">
      <c r="A551" s="3" t="s">
        <v>581</v>
      </c>
      <c r="B551" s="3">
        <v>2000000</v>
      </c>
      <c r="C551" s="3" t="s">
        <v>23</v>
      </c>
      <c r="D551" s="3">
        <v>0</v>
      </c>
      <c r="E551" s="3">
        <v>1</v>
      </c>
      <c r="F551" s="3"/>
      <c r="G551" s="3" t="s">
        <v>278</v>
      </c>
      <c r="H551" s="3" t="s">
        <v>278</v>
      </c>
      <c r="I551" s="3">
        <v>0.2</v>
      </c>
    </row>
    <row r="552" spans="1:9">
      <c r="A552" s="2" t="s">
        <v>582</v>
      </c>
      <c r="B552" s="2">
        <v>2000000</v>
      </c>
      <c r="C552" s="2" t="s">
        <v>23</v>
      </c>
      <c r="D552" s="2">
        <v>0</v>
      </c>
      <c r="E552" s="2">
        <v>1</v>
      </c>
      <c r="F552" s="2"/>
      <c r="G552" s="2" t="s">
        <v>278</v>
      </c>
      <c r="H552" s="2" t="s">
        <v>278</v>
      </c>
      <c r="I552" s="2">
        <v>0.2</v>
      </c>
    </row>
    <row r="553" spans="1:9">
      <c r="A553" s="3" t="s">
        <v>583</v>
      </c>
      <c r="B553" s="3">
        <v>2000000</v>
      </c>
      <c r="C553" s="3" t="s">
        <v>23</v>
      </c>
      <c r="D553" s="3">
        <v>0</v>
      </c>
      <c r="E553" s="3">
        <v>1</v>
      </c>
      <c r="F553" s="3"/>
      <c r="G553" s="3" t="s">
        <v>278</v>
      </c>
      <c r="H553" s="3" t="s">
        <v>278</v>
      </c>
      <c r="I553" s="3">
        <v>0.2</v>
      </c>
    </row>
    <row r="554" spans="1:9">
      <c r="A554" s="2" t="s">
        <v>584</v>
      </c>
      <c r="B554" s="2">
        <v>2000000</v>
      </c>
      <c r="C554" s="2" t="s">
        <v>23</v>
      </c>
      <c r="D554" s="2">
        <v>0</v>
      </c>
      <c r="E554" s="2">
        <v>1</v>
      </c>
      <c r="F554" s="2"/>
      <c r="G554" s="2" t="s">
        <v>278</v>
      </c>
      <c r="H554" s="2" t="s">
        <v>278</v>
      </c>
      <c r="I554" s="2">
        <v>0.2</v>
      </c>
    </row>
    <row r="555" spans="1:9">
      <c r="A555" s="3" t="s">
        <v>585</v>
      </c>
      <c r="B555" s="3">
        <v>2000000</v>
      </c>
      <c r="C555" s="3" t="s">
        <v>23</v>
      </c>
      <c r="D555" s="3">
        <v>0</v>
      </c>
      <c r="E555" s="3">
        <v>1</v>
      </c>
      <c r="F555" s="3"/>
      <c r="G555" s="3" t="s">
        <v>278</v>
      </c>
      <c r="H555" s="3" t="s">
        <v>278</v>
      </c>
      <c r="I555" s="3">
        <v>0.2</v>
      </c>
    </row>
    <row r="556" spans="1:9">
      <c r="A556" s="2" t="s">
        <v>586</v>
      </c>
      <c r="B556" s="2">
        <v>2000000</v>
      </c>
      <c r="C556" s="2" t="s">
        <v>23</v>
      </c>
      <c r="D556" s="2">
        <v>0</v>
      </c>
      <c r="E556" s="2">
        <v>1</v>
      </c>
      <c r="F556" s="2"/>
      <c r="G556" s="2" t="s">
        <v>278</v>
      </c>
      <c r="H556" s="2" t="s">
        <v>278</v>
      </c>
      <c r="I556" s="2">
        <v>0.2</v>
      </c>
    </row>
    <row r="557" spans="1:9">
      <c r="A557" s="3" t="s">
        <v>587</v>
      </c>
      <c r="B557" s="3">
        <v>2000000</v>
      </c>
      <c r="C557" s="3" t="s">
        <v>23</v>
      </c>
      <c r="D557" s="3">
        <v>0</v>
      </c>
      <c r="E557" s="3">
        <v>1</v>
      </c>
      <c r="F557" s="3"/>
      <c r="G557" s="3" t="s">
        <v>278</v>
      </c>
      <c r="H557" s="3" t="s">
        <v>278</v>
      </c>
      <c r="I557" s="3">
        <v>0.2</v>
      </c>
    </row>
    <row r="558" spans="1:9">
      <c r="A558" s="2" t="s">
        <v>588</v>
      </c>
      <c r="B558" s="2">
        <v>2000000</v>
      </c>
      <c r="C558" s="2" t="s">
        <v>23</v>
      </c>
      <c r="D558" s="2">
        <v>0</v>
      </c>
      <c r="E558" s="2">
        <v>1</v>
      </c>
      <c r="F558" s="2"/>
      <c r="G558" s="2" t="s">
        <v>278</v>
      </c>
      <c r="H558" s="2" t="s">
        <v>278</v>
      </c>
      <c r="I558" s="2">
        <v>0.2</v>
      </c>
    </row>
    <row r="559" spans="1:9">
      <c r="A559" s="3" t="s">
        <v>589</v>
      </c>
      <c r="B559" s="3">
        <v>2000000</v>
      </c>
      <c r="C559" s="3" t="s">
        <v>23</v>
      </c>
      <c r="D559" s="3">
        <v>0</v>
      </c>
      <c r="E559" s="3">
        <v>1</v>
      </c>
      <c r="F559" s="3"/>
      <c r="G559" s="3" t="s">
        <v>278</v>
      </c>
      <c r="H559" s="3" t="s">
        <v>278</v>
      </c>
      <c r="I559" s="3">
        <v>0.2</v>
      </c>
    </row>
    <row r="560" spans="1:9">
      <c r="A560" s="2" t="s">
        <v>590</v>
      </c>
      <c r="B560" s="2">
        <v>2000000</v>
      </c>
      <c r="C560" s="2" t="s">
        <v>23</v>
      </c>
      <c r="D560" s="2">
        <v>0</v>
      </c>
      <c r="E560" s="2">
        <v>1</v>
      </c>
      <c r="F560" s="2"/>
      <c r="G560" s="2" t="s">
        <v>278</v>
      </c>
      <c r="H560" s="2" t="s">
        <v>278</v>
      </c>
      <c r="I560" s="2">
        <v>0.2</v>
      </c>
    </row>
    <row r="561" spans="1:9">
      <c r="A561" s="3" t="s">
        <v>591</v>
      </c>
      <c r="B561" s="3">
        <v>2000000</v>
      </c>
      <c r="C561" s="3" t="s">
        <v>23</v>
      </c>
      <c r="D561" s="3">
        <v>0</v>
      </c>
      <c r="E561" s="3">
        <v>1</v>
      </c>
      <c r="F561" s="3"/>
      <c r="G561" s="3" t="s">
        <v>278</v>
      </c>
      <c r="H561" s="3" t="s">
        <v>278</v>
      </c>
      <c r="I561" s="3">
        <v>0.2</v>
      </c>
    </row>
    <row r="562" spans="1:9">
      <c r="A562" s="2" t="s">
        <v>592</v>
      </c>
      <c r="B562" s="2">
        <v>2000000</v>
      </c>
      <c r="C562" s="2" t="s">
        <v>23</v>
      </c>
      <c r="D562" s="2">
        <v>0</v>
      </c>
      <c r="E562" s="2">
        <v>1</v>
      </c>
      <c r="F562" s="2"/>
      <c r="G562" s="2" t="s">
        <v>278</v>
      </c>
      <c r="H562" s="2" t="s">
        <v>278</v>
      </c>
      <c r="I562" s="2">
        <v>0.2</v>
      </c>
    </row>
    <row r="563" spans="1:9">
      <c r="A563" s="3" t="s">
        <v>593</v>
      </c>
      <c r="B563" s="3">
        <v>2000000</v>
      </c>
      <c r="C563" s="3" t="s">
        <v>23</v>
      </c>
      <c r="D563" s="3">
        <v>0</v>
      </c>
      <c r="E563" s="3">
        <v>1</v>
      </c>
      <c r="F563" s="3"/>
      <c r="G563" s="3" t="s">
        <v>278</v>
      </c>
      <c r="H563" s="3" t="s">
        <v>278</v>
      </c>
      <c r="I563" s="3">
        <v>0.2</v>
      </c>
    </row>
    <row r="564" spans="1:9">
      <c r="A564" s="2" t="s">
        <v>594</v>
      </c>
      <c r="B564" s="2">
        <v>2000000</v>
      </c>
      <c r="C564" s="2" t="s">
        <v>23</v>
      </c>
      <c r="D564" s="2">
        <v>0</v>
      </c>
      <c r="E564" s="2">
        <v>1</v>
      </c>
      <c r="F564" s="2"/>
      <c r="G564" s="2" t="s">
        <v>278</v>
      </c>
      <c r="H564" s="2" t="s">
        <v>278</v>
      </c>
      <c r="I564" s="2">
        <v>0.2</v>
      </c>
    </row>
    <row r="565" spans="1:9">
      <c r="A565" s="3" t="s">
        <v>595</v>
      </c>
      <c r="B565" s="3">
        <v>2000000</v>
      </c>
      <c r="C565" s="3" t="s">
        <v>23</v>
      </c>
      <c r="D565" s="3">
        <v>0</v>
      </c>
      <c r="E565" s="3">
        <v>1</v>
      </c>
      <c r="F565" s="3"/>
      <c r="G565" s="3" t="s">
        <v>278</v>
      </c>
      <c r="H565" s="3" t="s">
        <v>278</v>
      </c>
      <c r="I565" s="3">
        <v>0.2</v>
      </c>
    </row>
    <row r="566" spans="1:9">
      <c r="A566" s="2" t="s">
        <v>596</v>
      </c>
      <c r="B566" s="2">
        <v>2000000</v>
      </c>
      <c r="C566" s="2" t="s">
        <v>23</v>
      </c>
      <c r="D566" s="2">
        <v>0</v>
      </c>
      <c r="E566" s="2">
        <v>1</v>
      </c>
      <c r="F566" s="2"/>
      <c r="G566" s="2" t="s">
        <v>278</v>
      </c>
      <c r="H566" s="2" t="s">
        <v>278</v>
      </c>
      <c r="I566" s="2">
        <v>0.2</v>
      </c>
    </row>
    <row r="567" spans="1:9">
      <c r="A567" s="3" t="s">
        <v>597</v>
      </c>
      <c r="B567" s="3">
        <v>2000000</v>
      </c>
      <c r="C567" s="3" t="s">
        <v>23</v>
      </c>
      <c r="D567" s="3">
        <v>0</v>
      </c>
      <c r="E567" s="3">
        <v>1</v>
      </c>
      <c r="F567" s="3"/>
      <c r="G567" s="3" t="s">
        <v>278</v>
      </c>
      <c r="H567" s="3" t="s">
        <v>278</v>
      </c>
      <c r="I567" s="3">
        <v>0.2</v>
      </c>
    </row>
    <row r="568" spans="1:9">
      <c r="A568" s="2" t="s">
        <v>598</v>
      </c>
      <c r="B568" s="2">
        <v>2000000</v>
      </c>
      <c r="C568" s="2" t="s">
        <v>23</v>
      </c>
      <c r="D568" s="2">
        <v>0</v>
      </c>
      <c r="E568" s="2">
        <v>1</v>
      </c>
      <c r="F568" s="2"/>
      <c r="G568" s="2" t="s">
        <v>278</v>
      </c>
      <c r="H568" s="2" t="s">
        <v>278</v>
      </c>
      <c r="I568" s="2">
        <v>0.2</v>
      </c>
    </row>
    <row r="569" spans="1:9">
      <c r="A569" s="3" t="s">
        <v>599</v>
      </c>
      <c r="B569" s="3">
        <v>2000000</v>
      </c>
      <c r="C569" s="3" t="s">
        <v>23</v>
      </c>
      <c r="D569" s="3">
        <v>0</v>
      </c>
      <c r="E569" s="3">
        <v>1</v>
      </c>
      <c r="F569" s="3"/>
      <c r="G569" s="3" t="s">
        <v>278</v>
      </c>
      <c r="H569" s="3" t="s">
        <v>278</v>
      </c>
      <c r="I569" s="3">
        <v>0.2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BD7BA2-CB0B-48BA-98CB-D802226DF6FC}">
  <dimension ref="A1:L20"/>
  <sheetViews>
    <sheetView workbookViewId="0">
      <selection activeCell="L20" sqref="L20"/>
    </sheetView>
  </sheetViews>
  <sheetFormatPr defaultRowHeight="14.4"/>
  <cols>
    <col min="1" max="1" width="23.33203125" bestFit="1" customWidth="1"/>
    <col min="2" max="2" width="18.109375" bestFit="1" customWidth="1"/>
    <col min="4" max="4" width="12.5546875" bestFit="1" customWidth="1"/>
    <col min="5" max="6" width="14.109375" bestFit="1" customWidth="1"/>
    <col min="10" max="10" width="14.5546875" bestFit="1" customWidth="1"/>
    <col min="11" max="11" width="18" bestFit="1" customWidth="1"/>
  </cols>
  <sheetData>
    <row r="1" spans="1:11">
      <c r="A1" s="4" t="s">
        <v>7</v>
      </c>
      <c r="B1" t="s">
        <v>13</v>
      </c>
    </row>
    <row r="3" spans="1:11">
      <c r="A3" s="4" t="s">
        <v>602</v>
      </c>
      <c r="B3" t="s">
        <v>600</v>
      </c>
      <c r="E3" s="4" t="s">
        <v>602</v>
      </c>
      <c r="F3" t="s">
        <v>603</v>
      </c>
      <c r="J3" s="4" t="s">
        <v>602</v>
      </c>
      <c r="K3" t="s">
        <v>604</v>
      </c>
    </row>
    <row r="4" spans="1:11">
      <c r="A4" s="5" t="s">
        <v>100</v>
      </c>
      <c r="B4" s="18">
        <v>5.4</v>
      </c>
      <c r="E4" s="5" t="s">
        <v>23</v>
      </c>
      <c r="F4" s="18">
        <v>213</v>
      </c>
      <c r="J4" s="5" t="s">
        <v>254</v>
      </c>
      <c r="K4" s="18">
        <v>5.25</v>
      </c>
    </row>
    <row r="5" spans="1:11">
      <c r="A5" s="5" t="s">
        <v>198</v>
      </c>
      <c r="B5" s="18">
        <v>7</v>
      </c>
      <c r="E5" s="5" t="s">
        <v>16</v>
      </c>
      <c r="F5" s="18">
        <v>91</v>
      </c>
      <c r="J5" s="5" t="s">
        <v>72</v>
      </c>
      <c r="K5" s="18">
        <v>5.5</v>
      </c>
    </row>
    <row r="6" spans="1:11">
      <c r="A6" s="5" t="s">
        <v>225</v>
      </c>
      <c r="B6" s="18">
        <v>9.8499999999999979</v>
      </c>
      <c r="E6" s="5" t="s">
        <v>10</v>
      </c>
      <c r="F6" s="18">
        <v>189</v>
      </c>
      <c r="J6" s="5" t="s">
        <v>224</v>
      </c>
      <c r="K6" s="18">
        <v>5.75</v>
      </c>
    </row>
    <row r="7" spans="1:11">
      <c r="A7" s="5" t="s">
        <v>12</v>
      </c>
      <c r="B7" s="18">
        <v>14.799999999999999</v>
      </c>
      <c r="E7" s="5" t="s">
        <v>19</v>
      </c>
      <c r="F7" s="18">
        <v>75</v>
      </c>
      <c r="J7" s="5" t="s">
        <v>9</v>
      </c>
      <c r="K7" s="18">
        <v>6</v>
      </c>
    </row>
    <row r="8" spans="1:11">
      <c r="A8" s="5" t="s">
        <v>73</v>
      </c>
      <c r="B8" s="18">
        <v>15</v>
      </c>
      <c r="E8" s="5" t="s">
        <v>601</v>
      </c>
      <c r="F8" s="18">
        <v>568</v>
      </c>
      <c r="J8" s="5" t="s">
        <v>253</v>
      </c>
      <c r="K8" s="18">
        <v>8.25</v>
      </c>
    </row>
    <row r="9" spans="1:11">
      <c r="A9" s="5" t="s">
        <v>46</v>
      </c>
      <c r="B9" s="18">
        <v>18.95</v>
      </c>
      <c r="J9" s="5" t="s">
        <v>251</v>
      </c>
      <c r="K9" s="18">
        <v>13.25</v>
      </c>
    </row>
    <row r="10" spans="1:11">
      <c r="A10" s="5" t="s">
        <v>146</v>
      </c>
      <c r="B10" s="18">
        <v>19.799999999999997</v>
      </c>
      <c r="J10" s="5" t="s">
        <v>145</v>
      </c>
      <c r="K10" s="18">
        <v>16</v>
      </c>
    </row>
    <row r="11" spans="1:11">
      <c r="A11" s="5" t="s">
        <v>123</v>
      </c>
      <c r="B11" s="18">
        <v>19.999999999999996</v>
      </c>
      <c r="J11" s="5" t="s">
        <v>45</v>
      </c>
      <c r="K11" s="18">
        <v>16.25</v>
      </c>
    </row>
    <row r="12" spans="1:11">
      <c r="A12" s="5" t="s">
        <v>173</v>
      </c>
      <c r="B12" s="18">
        <v>20.499999999999996</v>
      </c>
      <c r="J12" s="5" t="s">
        <v>172</v>
      </c>
      <c r="K12" s="18">
        <v>17.5</v>
      </c>
    </row>
    <row r="13" spans="1:11">
      <c r="A13" s="5" t="s">
        <v>252</v>
      </c>
      <c r="B13" s="18">
        <v>35.70000000000001</v>
      </c>
      <c r="J13" s="5" t="s">
        <v>122</v>
      </c>
      <c r="K13" s="18">
        <v>18.5</v>
      </c>
    </row>
    <row r="14" spans="1:11">
      <c r="A14" s="5" t="s">
        <v>601</v>
      </c>
      <c r="B14" s="18">
        <v>167</v>
      </c>
      <c r="J14" s="5" t="s">
        <v>601</v>
      </c>
      <c r="K14" s="18">
        <v>18.5</v>
      </c>
    </row>
    <row r="17" spans="4:12">
      <c r="D17" s="4" t="s">
        <v>602</v>
      </c>
      <c r="E17" t="s">
        <v>603</v>
      </c>
    </row>
    <row r="18" spans="4:12">
      <c r="D18" s="5" t="s">
        <v>13</v>
      </c>
      <c r="E18" s="18">
        <v>243</v>
      </c>
    </row>
    <row r="19" spans="4:12">
      <c r="D19" s="5" t="s">
        <v>278</v>
      </c>
      <c r="E19" s="18">
        <v>325</v>
      </c>
      <c r="L19" s="6"/>
    </row>
    <row r="20" spans="4:12">
      <c r="D20" s="5" t="s">
        <v>601</v>
      </c>
      <c r="E20" s="18">
        <v>568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46F81-C6EE-4048-8EBF-BBD7874CDA14}">
  <sheetPr>
    <pageSetUpPr autoPageBreaks="0"/>
  </sheetPr>
  <dimension ref="A1:X47"/>
  <sheetViews>
    <sheetView showGridLines="0" showRowColHeaders="0" tabSelected="1" topLeftCell="B1" zoomScale="99" zoomScaleNormal="99" workbookViewId="0">
      <selection activeCell="F10" sqref="F10"/>
    </sheetView>
  </sheetViews>
  <sheetFormatPr defaultRowHeight="14.4"/>
  <cols>
    <col min="1" max="1" width="9.6640625" customWidth="1"/>
    <col min="2" max="2" width="8.44140625" customWidth="1"/>
    <col min="3" max="3" width="10.21875" customWidth="1"/>
    <col min="4" max="4" width="10.5546875" customWidth="1"/>
  </cols>
  <sheetData>
    <row r="1" spans="1:24">
      <c r="A1" s="7"/>
      <c r="B1" s="7"/>
      <c r="C1" s="7"/>
      <c r="D1" s="7"/>
      <c r="E1" s="7"/>
      <c r="F1" s="7"/>
      <c r="G1" s="7"/>
      <c r="H1" s="7"/>
      <c r="I1" s="7"/>
      <c r="J1" s="7"/>
      <c r="K1" s="7"/>
      <c r="L1" s="7"/>
      <c r="M1" s="7"/>
      <c r="N1" s="7"/>
      <c r="O1" s="7"/>
      <c r="P1" s="7"/>
      <c r="Q1" s="7"/>
      <c r="R1" s="7"/>
      <c r="S1" s="7"/>
      <c r="T1" s="7"/>
      <c r="U1" s="7"/>
      <c r="V1" s="7"/>
      <c r="W1" s="7"/>
      <c r="X1" s="7"/>
    </row>
    <row r="2" spans="1:24">
      <c r="A2" s="7"/>
      <c r="B2" s="15" t="s">
        <v>609</v>
      </c>
      <c r="C2" s="16"/>
      <c r="D2" s="16"/>
      <c r="E2" s="16"/>
      <c r="F2" s="16"/>
      <c r="G2" s="16"/>
      <c r="H2" s="16"/>
      <c r="I2" s="16"/>
      <c r="J2" s="16"/>
      <c r="K2" s="16"/>
      <c r="L2" s="16"/>
      <c r="M2" s="16"/>
      <c r="N2" s="16"/>
      <c r="O2" s="16"/>
      <c r="P2" s="16"/>
      <c r="Q2" s="16"/>
      <c r="R2" s="16"/>
      <c r="S2" s="16"/>
      <c r="T2" s="16"/>
      <c r="U2" s="16"/>
      <c r="V2" s="16"/>
      <c r="W2" s="16"/>
      <c r="X2" s="7"/>
    </row>
    <row r="3" spans="1:24">
      <c r="A3" s="7"/>
      <c r="B3" s="16"/>
      <c r="C3" s="16"/>
      <c r="D3" s="16"/>
      <c r="E3" s="16"/>
      <c r="F3" s="16"/>
      <c r="G3" s="16"/>
      <c r="H3" s="16"/>
      <c r="I3" s="16"/>
      <c r="J3" s="16"/>
      <c r="K3" s="16"/>
      <c r="L3" s="16"/>
      <c r="M3" s="16"/>
      <c r="N3" s="16"/>
      <c r="O3" s="16"/>
      <c r="P3" s="16"/>
      <c r="Q3" s="16"/>
      <c r="R3" s="16"/>
      <c r="S3" s="16"/>
      <c r="T3" s="16"/>
      <c r="U3" s="16"/>
      <c r="V3" s="16"/>
      <c r="W3" s="16"/>
      <c r="X3" s="7"/>
    </row>
    <row r="4" spans="1:24">
      <c r="A4" s="7"/>
      <c r="B4" s="7"/>
      <c r="C4" s="7"/>
      <c r="D4" s="7"/>
      <c r="E4" s="7"/>
      <c r="F4" s="7"/>
      <c r="G4" s="7"/>
      <c r="H4" s="7"/>
      <c r="I4" s="7"/>
      <c r="J4" s="7"/>
      <c r="K4" s="7"/>
      <c r="L4" s="7"/>
      <c r="M4" s="7"/>
      <c r="N4" s="7"/>
      <c r="O4" s="7"/>
      <c r="P4" s="7"/>
      <c r="Q4" s="7"/>
      <c r="R4" s="7"/>
      <c r="S4" s="7"/>
      <c r="T4" s="7"/>
      <c r="U4" s="7"/>
      <c r="V4" s="7"/>
      <c r="W4" s="7"/>
      <c r="X4" s="7"/>
    </row>
    <row r="5" spans="1:24">
      <c r="A5" s="7"/>
      <c r="B5" s="7"/>
      <c r="C5" s="7"/>
      <c r="D5" s="7"/>
      <c r="E5" s="7"/>
      <c r="F5" s="7"/>
      <c r="G5" s="7"/>
      <c r="H5" s="7"/>
      <c r="I5" s="7"/>
      <c r="J5" s="7"/>
      <c r="K5" s="7"/>
      <c r="L5" s="7"/>
      <c r="M5" s="7"/>
      <c r="N5" s="7"/>
      <c r="O5" s="7"/>
      <c r="P5" s="7"/>
      <c r="Q5" s="7"/>
      <c r="R5" s="7"/>
      <c r="S5" s="7"/>
      <c r="T5" s="7"/>
      <c r="U5" s="7"/>
      <c r="V5" s="7"/>
      <c r="W5" s="7"/>
      <c r="X5" s="7"/>
    </row>
    <row r="6" spans="1:24" ht="15">
      <c r="A6" s="7"/>
      <c r="B6" s="17" t="s">
        <v>605</v>
      </c>
      <c r="C6" s="17"/>
      <c r="D6" s="17"/>
      <c r="E6" s="7"/>
      <c r="F6" s="7"/>
      <c r="G6" s="7"/>
      <c r="H6" s="9" t="s">
        <v>606</v>
      </c>
      <c r="I6" s="9"/>
      <c r="J6" s="9"/>
      <c r="K6" s="7"/>
      <c r="L6" s="7"/>
      <c r="M6" s="7"/>
      <c r="N6" s="11" t="s">
        <v>607</v>
      </c>
      <c r="O6" s="11"/>
      <c r="P6" s="11"/>
      <c r="Q6" s="7"/>
      <c r="R6" s="7"/>
      <c r="S6" s="7"/>
      <c r="T6" s="13" t="s">
        <v>608</v>
      </c>
      <c r="U6" s="13"/>
      <c r="V6" s="13"/>
      <c r="W6" s="7"/>
      <c r="X6" s="7"/>
    </row>
    <row r="7" spans="1:24">
      <c r="A7" s="7"/>
      <c r="B7" s="8">
        <f>COUNTA(IPLData[Player])</f>
        <v>568</v>
      </c>
      <c r="C7" s="8"/>
      <c r="D7" s="8"/>
      <c r="E7" s="7"/>
      <c r="F7" s="7"/>
      <c r="G7" s="7"/>
      <c r="H7" s="10">
        <f>COUNTIF(IPLData[Status],"Sold")</f>
        <v>243</v>
      </c>
      <c r="I7" s="10"/>
      <c r="J7" s="10"/>
      <c r="K7" s="7"/>
      <c r="L7" s="7"/>
      <c r="M7" s="7"/>
      <c r="N7" s="12" t="str">
        <f>SUMIF(IPLData[Status],"Sold",IPLData[Cost_INR_Cr])&amp;"CR"</f>
        <v>167CR</v>
      </c>
      <c r="O7" s="12"/>
      <c r="P7" s="12"/>
      <c r="Q7" s="7"/>
      <c r="R7" s="7"/>
      <c r="S7" s="7"/>
      <c r="T7" s="14" t="str">
        <f>ROUND(AVERAGEIF(IPLData[Status],"Sold",IPLData[Cost_INR_Cr]),2)&amp;" CR"</f>
        <v>0.69 CR</v>
      </c>
      <c r="U7" s="14"/>
      <c r="V7" s="14"/>
      <c r="W7" s="7"/>
      <c r="X7" s="7"/>
    </row>
    <row r="8" spans="1:24">
      <c r="A8" s="7"/>
      <c r="B8" s="8"/>
      <c r="C8" s="8"/>
      <c r="D8" s="8"/>
      <c r="E8" s="7"/>
      <c r="F8" s="7"/>
      <c r="G8" s="7"/>
      <c r="H8" s="10"/>
      <c r="I8" s="10"/>
      <c r="J8" s="10"/>
      <c r="K8" s="7"/>
      <c r="L8" s="7"/>
      <c r="M8" s="7"/>
      <c r="N8" s="12"/>
      <c r="O8" s="12"/>
      <c r="P8" s="12"/>
      <c r="Q8" s="7"/>
      <c r="R8" s="7"/>
      <c r="S8" s="7"/>
      <c r="T8" s="14"/>
      <c r="U8" s="14"/>
      <c r="V8" s="14"/>
      <c r="W8" s="7"/>
      <c r="X8" s="7"/>
    </row>
    <row r="9" spans="1:24">
      <c r="A9" s="7"/>
      <c r="B9" s="8"/>
      <c r="C9" s="8"/>
      <c r="D9" s="8"/>
      <c r="E9" s="7"/>
      <c r="F9" s="7"/>
      <c r="G9" s="7"/>
      <c r="H9" s="10"/>
      <c r="I9" s="10"/>
      <c r="J9" s="10"/>
      <c r="K9" s="7"/>
      <c r="L9" s="7"/>
      <c r="M9" s="7"/>
      <c r="N9" s="12"/>
      <c r="O9" s="12"/>
      <c r="P9" s="12"/>
      <c r="Q9" s="7"/>
      <c r="R9" s="7"/>
      <c r="S9" s="7"/>
      <c r="T9" s="14"/>
      <c r="U9" s="14"/>
      <c r="V9" s="14"/>
      <c r="W9" s="7"/>
      <c r="X9" s="7"/>
    </row>
    <row r="10" spans="1:24">
      <c r="A10" s="7"/>
      <c r="B10" s="7"/>
      <c r="C10" s="7"/>
      <c r="D10" s="7"/>
      <c r="E10" s="7"/>
      <c r="F10" s="7"/>
      <c r="G10" s="7"/>
      <c r="H10" s="7"/>
      <c r="I10" s="7"/>
      <c r="J10" s="7"/>
      <c r="K10" s="7"/>
      <c r="L10" s="7"/>
      <c r="M10" s="7"/>
      <c r="N10" s="7"/>
      <c r="O10" s="7"/>
      <c r="P10" s="7"/>
      <c r="Q10" s="7"/>
      <c r="R10" s="7"/>
      <c r="S10" s="7"/>
      <c r="T10" s="7"/>
      <c r="U10" s="7"/>
      <c r="V10" s="7"/>
      <c r="W10" s="7"/>
      <c r="X10" s="7"/>
    </row>
    <row r="11" spans="1:24">
      <c r="A11" s="7"/>
      <c r="B11" s="7"/>
      <c r="C11" s="7"/>
      <c r="D11" s="7"/>
      <c r="E11" s="7"/>
      <c r="F11" s="7"/>
      <c r="G11" s="7"/>
      <c r="H11" s="7"/>
      <c r="I11" s="7"/>
      <c r="J11" s="7"/>
      <c r="K11" s="7"/>
      <c r="L11" s="7"/>
      <c r="M11" s="7"/>
      <c r="N11" s="7"/>
      <c r="O11" s="7"/>
      <c r="P11" s="7"/>
      <c r="Q11" s="7"/>
      <c r="R11" s="7"/>
      <c r="S11" s="7"/>
      <c r="T11" s="7"/>
      <c r="U11" s="7"/>
      <c r="V11" s="7"/>
      <c r="W11" s="7"/>
      <c r="X11" s="7"/>
    </row>
    <row r="12" spans="1:24">
      <c r="A12" s="7"/>
      <c r="B12" s="7"/>
      <c r="C12" s="7"/>
      <c r="D12" s="7"/>
      <c r="E12" s="7"/>
      <c r="F12" s="7"/>
      <c r="G12" s="7"/>
      <c r="H12" s="7"/>
      <c r="I12" s="7"/>
      <c r="J12" s="7"/>
      <c r="K12" s="7"/>
      <c r="L12" s="7"/>
      <c r="M12" s="7"/>
      <c r="N12" s="7"/>
      <c r="O12" s="7"/>
      <c r="P12" s="7"/>
      <c r="Q12" s="7"/>
      <c r="R12" s="7"/>
      <c r="S12" s="7"/>
      <c r="T12" s="7"/>
      <c r="U12" s="7"/>
      <c r="V12" s="7"/>
      <c r="W12" s="7"/>
      <c r="X12" s="7"/>
    </row>
    <row r="13" spans="1:24">
      <c r="A13" s="7"/>
      <c r="B13" s="7"/>
      <c r="C13" s="7"/>
      <c r="D13" s="7"/>
      <c r="E13" s="7"/>
      <c r="F13" s="7"/>
      <c r="G13" s="7"/>
      <c r="H13" s="7"/>
      <c r="I13" s="7"/>
      <c r="J13" s="7"/>
      <c r="K13" s="7"/>
      <c r="L13" s="7"/>
      <c r="M13" s="7"/>
      <c r="N13" s="7"/>
      <c r="O13" s="7"/>
      <c r="P13" s="7"/>
      <c r="Q13" s="7"/>
      <c r="R13" s="7"/>
      <c r="S13" s="7"/>
      <c r="T13" s="7"/>
      <c r="U13" s="7"/>
      <c r="V13" s="7"/>
      <c r="W13" s="7"/>
      <c r="X13" s="7"/>
    </row>
    <row r="14" spans="1:24">
      <c r="A14" s="7"/>
      <c r="B14" s="7"/>
      <c r="C14" s="7"/>
      <c r="D14" s="7"/>
      <c r="E14" s="7"/>
      <c r="F14" s="7"/>
      <c r="G14" s="7"/>
      <c r="H14" s="7"/>
      <c r="I14" s="7"/>
      <c r="J14" s="7"/>
      <c r="K14" s="7"/>
      <c r="L14" s="7"/>
      <c r="M14" s="7"/>
      <c r="N14" s="7"/>
      <c r="O14" s="7"/>
      <c r="P14" s="7"/>
      <c r="Q14" s="7"/>
      <c r="R14" s="7"/>
      <c r="S14" s="7"/>
      <c r="T14" s="7"/>
      <c r="U14" s="7"/>
      <c r="V14" s="7"/>
      <c r="W14" s="7"/>
      <c r="X14" s="7"/>
    </row>
    <row r="15" spans="1:24">
      <c r="A15" s="7"/>
      <c r="B15" s="7"/>
      <c r="C15" s="7"/>
      <c r="D15" s="7"/>
      <c r="E15" s="7"/>
      <c r="F15" s="7"/>
      <c r="G15" s="7"/>
      <c r="H15" s="7"/>
      <c r="I15" s="7"/>
      <c r="J15" s="7"/>
      <c r="K15" s="7"/>
      <c r="L15" s="7"/>
      <c r="M15" s="7"/>
      <c r="N15" s="7"/>
      <c r="O15" s="7"/>
      <c r="P15" s="7"/>
      <c r="Q15" s="7"/>
      <c r="R15" s="7"/>
      <c r="S15" s="7"/>
      <c r="T15" s="7"/>
      <c r="U15" s="7"/>
      <c r="V15" s="7"/>
      <c r="W15" s="7"/>
      <c r="X15" s="7"/>
    </row>
    <row r="16" spans="1:24">
      <c r="A16" s="7"/>
      <c r="B16" s="7"/>
      <c r="C16" s="7"/>
      <c r="D16" s="7"/>
      <c r="E16" s="7"/>
      <c r="F16" s="7"/>
      <c r="G16" s="7"/>
      <c r="H16" s="7"/>
      <c r="I16" s="7"/>
      <c r="J16" s="7"/>
      <c r="K16" s="7"/>
      <c r="L16" s="7"/>
      <c r="M16" s="7"/>
      <c r="N16" s="7"/>
      <c r="O16" s="7"/>
      <c r="P16" s="7"/>
      <c r="Q16" s="7"/>
      <c r="R16" s="7"/>
      <c r="S16" s="7"/>
      <c r="T16" s="7"/>
      <c r="U16" s="7"/>
      <c r="V16" s="7"/>
      <c r="W16" s="7"/>
      <c r="X16" s="7"/>
    </row>
    <row r="17" spans="1:24">
      <c r="A17" s="7"/>
      <c r="B17" s="7"/>
      <c r="C17" s="7"/>
      <c r="D17" s="7"/>
      <c r="E17" s="7"/>
      <c r="F17" s="7"/>
      <c r="G17" s="7"/>
      <c r="H17" s="7"/>
      <c r="I17" s="7"/>
      <c r="J17" s="7"/>
      <c r="K17" s="7"/>
      <c r="L17" s="7"/>
      <c r="M17" s="7"/>
      <c r="N17" s="7"/>
      <c r="O17" s="7"/>
      <c r="P17" s="7"/>
      <c r="Q17" s="7"/>
      <c r="R17" s="7"/>
      <c r="S17" s="7"/>
      <c r="T17" s="7"/>
      <c r="U17" s="7"/>
      <c r="V17" s="7"/>
      <c r="W17" s="7"/>
      <c r="X17" s="7"/>
    </row>
    <row r="18" spans="1:24">
      <c r="A18" s="7"/>
      <c r="B18" s="7"/>
      <c r="C18" s="7"/>
      <c r="D18" s="7"/>
      <c r="E18" s="7"/>
      <c r="F18" s="7"/>
      <c r="G18" s="7"/>
      <c r="H18" s="7"/>
      <c r="I18" s="7"/>
      <c r="J18" s="7"/>
      <c r="K18" s="7"/>
      <c r="L18" s="7"/>
      <c r="M18" s="7"/>
      <c r="N18" s="7"/>
      <c r="O18" s="7"/>
      <c r="P18" s="7"/>
      <c r="Q18" s="7"/>
      <c r="R18" s="7"/>
      <c r="S18" s="7"/>
      <c r="T18" s="7"/>
      <c r="U18" s="7"/>
      <c r="V18" s="7"/>
      <c r="W18" s="7"/>
      <c r="X18" s="7"/>
    </row>
    <row r="19" spans="1:24">
      <c r="A19" s="7"/>
      <c r="B19" s="7"/>
      <c r="C19" s="7"/>
      <c r="D19" s="7"/>
      <c r="E19" s="7"/>
      <c r="F19" s="7"/>
      <c r="G19" s="7"/>
      <c r="H19" s="7"/>
      <c r="I19" s="7"/>
      <c r="J19" s="7"/>
      <c r="K19" s="7"/>
      <c r="L19" s="7"/>
      <c r="M19" s="7"/>
      <c r="N19" s="7"/>
      <c r="O19" s="7"/>
      <c r="P19" s="7"/>
      <c r="Q19" s="7"/>
      <c r="R19" s="7"/>
      <c r="S19" s="7"/>
      <c r="T19" s="7"/>
      <c r="U19" s="7"/>
      <c r="V19" s="7"/>
      <c r="W19" s="7"/>
      <c r="X19" s="7"/>
    </row>
    <row r="20" spans="1:24">
      <c r="A20" s="7"/>
      <c r="B20" s="7"/>
      <c r="C20" s="7"/>
      <c r="D20" s="7"/>
      <c r="E20" s="7"/>
      <c r="F20" s="7"/>
      <c r="G20" s="7"/>
      <c r="H20" s="7"/>
      <c r="I20" s="7"/>
      <c r="J20" s="7"/>
      <c r="K20" s="7"/>
      <c r="L20" s="7"/>
      <c r="M20" s="7"/>
      <c r="N20" s="7"/>
      <c r="O20" s="7"/>
      <c r="P20" s="7"/>
      <c r="Q20" s="7"/>
      <c r="R20" s="7"/>
      <c r="S20" s="7"/>
      <c r="T20" s="7"/>
      <c r="U20" s="7"/>
      <c r="V20" s="7"/>
      <c r="W20" s="7"/>
      <c r="X20" s="7"/>
    </row>
    <row r="21" spans="1:24">
      <c r="A21" s="7"/>
      <c r="B21" s="7"/>
      <c r="C21" s="7"/>
      <c r="D21" s="7"/>
      <c r="E21" s="7"/>
      <c r="F21" s="7"/>
      <c r="G21" s="7"/>
      <c r="H21" s="7"/>
      <c r="I21" s="7"/>
      <c r="J21" s="7"/>
      <c r="K21" s="7"/>
      <c r="L21" s="7"/>
      <c r="M21" s="7"/>
      <c r="N21" s="7"/>
      <c r="O21" s="7"/>
      <c r="P21" s="7"/>
      <c r="Q21" s="7"/>
      <c r="R21" s="7"/>
      <c r="S21" s="7"/>
      <c r="T21" s="7"/>
      <c r="U21" s="7"/>
      <c r="V21" s="7"/>
      <c r="W21" s="7"/>
      <c r="X21" s="7"/>
    </row>
    <row r="22" spans="1:24">
      <c r="A22" s="7"/>
      <c r="B22" s="7"/>
      <c r="C22" s="7"/>
      <c r="D22" s="7"/>
      <c r="E22" s="7"/>
      <c r="F22" s="7"/>
      <c r="G22" s="7"/>
      <c r="H22" s="7"/>
      <c r="I22" s="7"/>
      <c r="J22" s="7"/>
      <c r="K22" s="7"/>
      <c r="L22" s="7"/>
      <c r="M22" s="7"/>
      <c r="N22" s="7"/>
      <c r="O22" s="7"/>
      <c r="P22" s="7"/>
      <c r="Q22" s="7"/>
      <c r="R22" s="7"/>
      <c r="S22" s="7"/>
      <c r="T22" s="7"/>
      <c r="U22" s="7"/>
      <c r="V22" s="7"/>
      <c r="W22" s="7"/>
      <c r="X22" s="7"/>
    </row>
    <row r="23" spans="1:24">
      <c r="A23" s="7"/>
      <c r="B23" s="7"/>
      <c r="C23" s="7"/>
      <c r="D23" s="7"/>
      <c r="E23" s="7"/>
      <c r="F23" s="7"/>
      <c r="G23" s="7"/>
      <c r="H23" s="7"/>
      <c r="I23" s="7"/>
      <c r="J23" s="7"/>
      <c r="K23" s="7"/>
      <c r="L23" s="7"/>
      <c r="M23" s="7"/>
      <c r="N23" s="7"/>
      <c r="O23" s="7"/>
      <c r="P23" s="7"/>
      <c r="Q23" s="7"/>
      <c r="R23" s="7"/>
      <c r="S23" s="7"/>
      <c r="T23" s="7"/>
      <c r="U23" s="7"/>
      <c r="V23" s="7"/>
      <c r="W23" s="7"/>
      <c r="X23" s="7"/>
    </row>
    <row r="24" spans="1:24">
      <c r="A24" s="7"/>
      <c r="B24" s="7"/>
      <c r="C24" s="7"/>
      <c r="D24" s="7"/>
      <c r="E24" s="7"/>
      <c r="F24" s="7"/>
      <c r="G24" s="7"/>
      <c r="H24" s="7"/>
      <c r="I24" s="7"/>
      <c r="J24" s="7"/>
      <c r="K24" s="7"/>
      <c r="L24" s="7"/>
      <c r="M24" s="7"/>
      <c r="N24" s="7"/>
      <c r="O24" s="7"/>
      <c r="P24" s="7"/>
      <c r="Q24" s="7"/>
      <c r="R24" s="7"/>
      <c r="S24" s="7"/>
      <c r="T24" s="7"/>
      <c r="U24" s="7"/>
      <c r="V24" s="7"/>
      <c r="W24" s="7"/>
      <c r="X24" s="7"/>
    </row>
    <row r="25" spans="1:24">
      <c r="A25" s="7"/>
      <c r="B25" s="7"/>
      <c r="C25" s="7"/>
      <c r="D25" s="7"/>
      <c r="E25" s="7"/>
      <c r="F25" s="7"/>
      <c r="G25" s="7"/>
      <c r="H25" s="7"/>
      <c r="I25" s="7"/>
      <c r="J25" s="7"/>
      <c r="K25" s="7"/>
      <c r="L25" s="7"/>
      <c r="M25" s="7"/>
      <c r="N25" s="7"/>
      <c r="O25" s="7"/>
      <c r="P25" s="7"/>
      <c r="Q25" s="7"/>
      <c r="R25" s="7"/>
      <c r="S25" s="7"/>
      <c r="T25" s="7"/>
      <c r="U25" s="7"/>
      <c r="V25" s="7"/>
      <c r="W25" s="7"/>
      <c r="X25" s="7"/>
    </row>
    <row r="26" spans="1:24">
      <c r="A26" s="7"/>
      <c r="B26" s="7"/>
      <c r="C26" s="7"/>
      <c r="D26" s="7"/>
      <c r="E26" s="7"/>
      <c r="F26" s="7"/>
      <c r="G26" s="7"/>
      <c r="H26" s="7"/>
      <c r="I26" s="7"/>
      <c r="J26" s="7"/>
      <c r="K26" s="7"/>
      <c r="L26" s="7"/>
      <c r="M26" s="7"/>
      <c r="N26" s="7"/>
      <c r="O26" s="7"/>
      <c r="P26" s="7"/>
      <c r="Q26" s="7"/>
      <c r="R26" s="7"/>
      <c r="S26" s="7"/>
      <c r="T26" s="7"/>
      <c r="U26" s="7"/>
      <c r="V26" s="7"/>
      <c r="W26" s="7"/>
      <c r="X26" s="7"/>
    </row>
    <row r="27" spans="1:24">
      <c r="A27" s="7"/>
      <c r="B27" s="7"/>
      <c r="C27" s="7"/>
      <c r="D27" s="7"/>
      <c r="E27" s="7"/>
      <c r="F27" s="7"/>
      <c r="G27" s="7"/>
      <c r="H27" s="7"/>
      <c r="I27" s="7"/>
      <c r="J27" s="7"/>
      <c r="K27" s="7"/>
      <c r="L27" s="7"/>
      <c r="M27" s="7"/>
      <c r="N27" s="7"/>
      <c r="O27" s="7"/>
      <c r="P27" s="7"/>
      <c r="Q27" s="7"/>
      <c r="R27" s="7"/>
      <c r="S27" s="7"/>
      <c r="T27" s="7"/>
      <c r="U27" s="7"/>
      <c r="V27" s="7"/>
      <c r="W27" s="7"/>
      <c r="X27" s="7"/>
    </row>
    <row r="28" spans="1:24">
      <c r="A28" s="7"/>
      <c r="B28" s="7"/>
      <c r="C28" s="7"/>
      <c r="D28" s="7"/>
      <c r="E28" s="7"/>
      <c r="F28" s="7"/>
      <c r="G28" s="7"/>
      <c r="H28" s="7"/>
      <c r="I28" s="7"/>
      <c r="J28" s="7"/>
      <c r="K28" s="7"/>
      <c r="L28" s="7"/>
      <c r="M28" s="7"/>
      <c r="N28" s="7"/>
      <c r="O28" s="7"/>
      <c r="P28" s="7"/>
      <c r="Q28" s="7"/>
      <c r="R28" s="7"/>
      <c r="S28" s="7"/>
      <c r="T28" s="7"/>
      <c r="U28" s="7"/>
      <c r="V28" s="7"/>
      <c r="W28" s="7"/>
      <c r="X28" s="7"/>
    </row>
    <row r="29" spans="1:24">
      <c r="A29" s="7"/>
      <c r="B29" s="7"/>
      <c r="C29" s="7"/>
      <c r="D29" s="7"/>
      <c r="E29" s="7"/>
      <c r="F29" s="7"/>
      <c r="G29" s="7"/>
      <c r="H29" s="7"/>
      <c r="I29" s="7"/>
      <c r="J29" s="7"/>
      <c r="K29" s="7"/>
      <c r="L29" s="7"/>
      <c r="M29" s="7"/>
      <c r="N29" s="7"/>
      <c r="O29" s="7"/>
      <c r="P29" s="7"/>
      <c r="Q29" s="7"/>
      <c r="R29" s="7"/>
      <c r="S29" s="7"/>
      <c r="T29" s="7"/>
      <c r="U29" s="7"/>
      <c r="V29" s="7"/>
      <c r="W29" s="7"/>
      <c r="X29" s="7"/>
    </row>
    <row r="30" spans="1:24">
      <c r="A30" s="7"/>
      <c r="B30" s="7"/>
      <c r="C30" s="7"/>
      <c r="D30" s="7"/>
      <c r="E30" s="7"/>
      <c r="F30" s="7"/>
      <c r="G30" s="7"/>
      <c r="H30" s="7"/>
      <c r="I30" s="7"/>
      <c r="J30" s="7"/>
      <c r="K30" s="7"/>
      <c r="L30" s="7"/>
      <c r="M30" s="7"/>
      <c r="N30" s="7"/>
      <c r="O30" s="7"/>
      <c r="P30" s="7"/>
      <c r="Q30" s="7"/>
      <c r="R30" s="7"/>
      <c r="S30" s="7"/>
      <c r="T30" s="7"/>
      <c r="U30" s="7"/>
      <c r="V30" s="7"/>
      <c r="W30" s="7"/>
      <c r="X30" s="7"/>
    </row>
    <row r="31" spans="1:24">
      <c r="A31" s="7"/>
      <c r="B31" s="7"/>
      <c r="C31" s="7"/>
      <c r="D31" s="7"/>
      <c r="E31" s="7"/>
      <c r="F31" s="7"/>
      <c r="G31" s="7"/>
      <c r="H31" s="7"/>
      <c r="I31" s="7"/>
      <c r="J31" s="7"/>
      <c r="K31" s="7"/>
      <c r="L31" s="7"/>
      <c r="M31" s="7"/>
      <c r="N31" s="7"/>
      <c r="O31" s="7"/>
      <c r="P31" s="7"/>
      <c r="Q31" s="7"/>
      <c r="R31" s="7"/>
      <c r="S31" s="7"/>
      <c r="T31" s="7"/>
      <c r="U31" s="7"/>
      <c r="V31" s="7"/>
      <c r="W31" s="7"/>
      <c r="X31" s="7"/>
    </row>
    <row r="32" spans="1:24">
      <c r="A32" s="7"/>
      <c r="B32" s="7"/>
      <c r="C32" s="7"/>
      <c r="D32" s="7"/>
      <c r="E32" s="7"/>
      <c r="F32" s="7"/>
      <c r="G32" s="7"/>
      <c r="H32" s="7"/>
      <c r="I32" s="7"/>
      <c r="J32" s="7"/>
      <c r="K32" s="7"/>
      <c r="L32" s="7"/>
      <c r="M32" s="7"/>
      <c r="N32" s="7"/>
      <c r="O32" s="7"/>
      <c r="P32" s="7"/>
      <c r="Q32" s="7"/>
      <c r="R32" s="7"/>
      <c r="S32" s="7"/>
      <c r="T32" s="7"/>
      <c r="U32" s="7"/>
      <c r="V32" s="7"/>
      <c r="W32" s="7"/>
      <c r="X32" s="7"/>
    </row>
    <row r="33" spans="1:24">
      <c r="A33" s="7"/>
      <c r="B33" s="7"/>
      <c r="C33" s="7"/>
      <c r="D33" s="7"/>
      <c r="E33" s="7"/>
      <c r="F33" s="7"/>
      <c r="G33" s="7"/>
      <c r="H33" s="7"/>
      <c r="I33" s="7"/>
      <c r="J33" s="7"/>
      <c r="K33" s="7"/>
      <c r="L33" s="7"/>
      <c r="M33" s="7"/>
      <c r="N33" s="7"/>
      <c r="O33" s="7"/>
      <c r="P33" s="7"/>
      <c r="Q33" s="7"/>
      <c r="R33" s="7"/>
      <c r="S33" s="7"/>
      <c r="T33" s="7"/>
      <c r="U33" s="7"/>
      <c r="V33" s="7"/>
      <c r="W33" s="7"/>
      <c r="X33" s="7"/>
    </row>
    <row r="34" spans="1:24">
      <c r="A34" s="7"/>
      <c r="B34" s="7"/>
      <c r="C34" s="7"/>
      <c r="D34" s="7"/>
      <c r="E34" s="7"/>
      <c r="F34" s="7"/>
      <c r="G34" s="7"/>
      <c r="H34" s="7"/>
      <c r="I34" s="7"/>
      <c r="J34" s="7"/>
      <c r="K34" s="7"/>
      <c r="L34" s="7"/>
      <c r="M34" s="7"/>
      <c r="N34" s="7"/>
      <c r="O34" s="7"/>
      <c r="P34" s="7"/>
      <c r="Q34" s="7"/>
      <c r="R34" s="7"/>
      <c r="S34" s="7"/>
      <c r="T34" s="7"/>
      <c r="U34" s="7"/>
      <c r="V34" s="7"/>
      <c r="W34" s="7"/>
      <c r="X34" s="7"/>
    </row>
    <row r="35" spans="1:24">
      <c r="A35" s="7"/>
      <c r="B35" s="7"/>
      <c r="C35" s="7"/>
      <c r="D35" s="7"/>
      <c r="E35" s="7"/>
      <c r="F35" s="7"/>
      <c r="G35" s="7"/>
      <c r="H35" s="7"/>
      <c r="I35" s="7"/>
      <c r="J35" s="7"/>
      <c r="K35" s="7"/>
      <c r="L35" s="7"/>
      <c r="M35" s="7"/>
      <c r="N35" s="7"/>
      <c r="O35" s="7"/>
      <c r="P35" s="7"/>
      <c r="Q35" s="7"/>
      <c r="R35" s="7"/>
      <c r="S35" s="7"/>
      <c r="T35" s="7"/>
      <c r="U35" s="7"/>
      <c r="V35" s="7"/>
      <c r="W35" s="7"/>
      <c r="X35" s="7"/>
    </row>
    <row r="36" spans="1:24">
      <c r="A36" s="7"/>
      <c r="B36" s="7"/>
      <c r="C36" s="7"/>
      <c r="D36" s="7"/>
      <c r="E36" s="7"/>
      <c r="F36" s="7"/>
      <c r="G36" s="7"/>
      <c r="H36" s="7"/>
      <c r="I36" s="7"/>
      <c r="J36" s="7"/>
      <c r="K36" s="7"/>
      <c r="L36" s="7"/>
      <c r="M36" s="7"/>
      <c r="N36" s="7"/>
      <c r="O36" s="7"/>
      <c r="P36" s="7"/>
      <c r="Q36" s="7"/>
      <c r="R36" s="7"/>
      <c r="S36" s="7"/>
      <c r="T36" s="7"/>
      <c r="U36" s="7"/>
      <c r="V36" s="7"/>
      <c r="W36" s="7"/>
      <c r="X36" s="7"/>
    </row>
    <row r="37" spans="1:24">
      <c r="A37" s="7"/>
      <c r="B37" s="7"/>
      <c r="C37" s="7"/>
      <c r="D37" s="7"/>
      <c r="E37" s="7"/>
      <c r="F37" s="7"/>
      <c r="G37" s="7"/>
      <c r="H37" s="7"/>
      <c r="I37" s="7"/>
      <c r="J37" s="7"/>
      <c r="K37" s="7"/>
      <c r="L37" s="7"/>
      <c r="M37" s="7"/>
      <c r="N37" s="7"/>
      <c r="O37" s="7"/>
      <c r="P37" s="7"/>
      <c r="Q37" s="7"/>
      <c r="R37" s="7"/>
      <c r="S37" s="7"/>
      <c r="T37" s="7"/>
      <c r="U37" s="7"/>
      <c r="V37" s="7"/>
      <c r="W37" s="7"/>
      <c r="X37" s="7"/>
    </row>
    <row r="38" spans="1:24">
      <c r="A38" s="7"/>
      <c r="B38" s="7"/>
      <c r="C38" s="7"/>
      <c r="D38" s="7"/>
      <c r="E38" s="7"/>
      <c r="F38" s="7"/>
      <c r="G38" s="7"/>
      <c r="H38" s="7"/>
      <c r="I38" s="7"/>
      <c r="J38" s="7"/>
      <c r="K38" s="7"/>
      <c r="L38" s="7"/>
      <c r="M38" s="7"/>
      <c r="N38" s="7"/>
      <c r="O38" s="7"/>
      <c r="P38" s="7"/>
      <c r="Q38" s="7"/>
      <c r="R38" s="7"/>
      <c r="S38" s="7"/>
      <c r="T38" s="7"/>
      <c r="U38" s="7"/>
      <c r="V38" s="7"/>
      <c r="W38" s="7"/>
      <c r="X38" s="7"/>
    </row>
    <row r="39" spans="1:24">
      <c r="A39" s="7"/>
      <c r="B39" s="7"/>
      <c r="C39" s="7"/>
      <c r="D39" s="7"/>
      <c r="E39" s="7"/>
      <c r="F39" s="7"/>
      <c r="G39" s="7"/>
      <c r="H39" s="7"/>
      <c r="I39" s="7"/>
      <c r="J39" s="7"/>
      <c r="K39" s="7"/>
      <c r="L39" s="7"/>
      <c r="M39" s="7"/>
      <c r="N39" s="7"/>
      <c r="O39" s="7"/>
      <c r="P39" s="7"/>
      <c r="Q39" s="7"/>
      <c r="R39" s="7"/>
      <c r="S39" s="7"/>
      <c r="T39" s="7"/>
      <c r="U39" s="7"/>
      <c r="V39" s="7"/>
      <c r="W39" s="7"/>
      <c r="X39" s="7"/>
    </row>
    <row r="40" spans="1:24">
      <c r="A40" s="7"/>
      <c r="B40" s="7"/>
      <c r="C40" s="7"/>
      <c r="D40" s="7"/>
      <c r="E40" s="7"/>
      <c r="F40" s="7"/>
      <c r="G40" s="7"/>
      <c r="H40" s="7"/>
      <c r="I40" s="7"/>
      <c r="J40" s="7"/>
      <c r="K40" s="7"/>
      <c r="L40" s="7"/>
      <c r="M40" s="7"/>
      <c r="N40" s="7"/>
      <c r="O40" s="7"/>
      <c r="P40" s="7"/>
      <c r="Q40" s="7"/>
      <c r="R40" s="7"/>
      <c r="S40" s="7"/>
      <c r="T40" s="7"/>
      <c r="U40" s="7"/>
      <c r="V40" s="7"/>
      <c r="W40" s="7"/>
      <c r="X40" s="7"/>
    </row>
    <row r="41" spans="1:24">
      <c r="A41" s="7"/>
      <c r="B41" s="7"/>
      <c r="C41" s="7"/>
      <c r="D41" s="7"/>
      <c r="E41" s="7"/>
      <c r="F41" s="7"/>
      <c r="G41" s="7"/>
      <c r="H41" s="7"/>
      <c r="I41" s="7"/>
      <c r="J41" s="7"/>
      <c r="K41" s="7"/>
      <c r="L41" s="7"/>
      <c r="M41" s="7"/>
      <c r="N41" s="7"/>
      <c r="O41" s="7"/>
      <c r="P41" s="7"/>
      <c r="Q41" s="7"/>
      <c r="R41" s="7"/>
      <c r="S41" s="7"/>
      <c r="T41" s="7"/>
      <c r="U41" s="7"/>
      <c r="V41" s="7"/>
      <c r="W41" s="7"/>
      <c r="X41" s="7"/>
    </row>
    <row r="42" spans="1:24">
      <c r="A42" s="7"/>
      <c r="B42" s="7"/>
      <c r="C42" s="7"/>
      <c r="D42" s="7"/>
      <c r="E42" s="7"/>
      <c r="F42" s="7"/>
      <c r="G42" s="7"/>
      <c r="H42" s="7"/>
      <c r="I42" s="7"/>
      <c r="J42" s="7"/>
      <c r="K42" s="7"/>
      <c r="L42" s="7"/>
      <c r="M42" s="7"/>
      <c r="N42" s="7"/>
      <c r="O42" s="7"/>
      <c r="P42" s="7"/>
      <c r="Q42" s="7"/>
      <c r="R42" s="7"/>
      <c r="S42" s="7"/>
      <c r="T42" s="7"/>
      <c r="U42" s="7"/>
      <c r="V42" s="7"/>
      <c r="W42" s="7"/>
      <c r="X42" s="7"/>
    </row>
    <row r="43" spans="1:24">
      <c r="A43" s="7"/>
      <c r="B43" s="7"/>
      <c r="C43" s="7"/>
      <c r="D43" s="7"/>
      <c r="E43" s="7"/>
      <c r="F43" s="7"/>
      <c r="G43" s="7"/>
      <c r="H43" s="7"/>
      <c r="I43" s="7"/>
      <c r="J43" s="7"/>
      <c r="K43" s="7"/>
      <c r="L43" s="7"/>
      <c r="M43" s="7"/>
      <c r="N43" s="7"/>
      <c r="O43" s="7"/>
      <c r="P43" s="7"/>
      <c r="Q43" s="7"/>
      <c r="R43" s="7"/>
      <c r="S43" s="7"/>
      <c r="T43" s="7"/>
      <c r="U43" s="7"/>
      <c r="V43" s="7"/>
      <c r="W43" s="7"/>
      <c r="X43" s="7"/>
    </row>
    <row r="44" spans="1:24">
      <c r="A44" s="7"/>
      <c r="B44" s="7"/>
      <c r="C44" s="7"/>
      <c r="D44" s="7"/>
      <c r="E44" s="7"/>
      <c r="F44" s="7"/>
      <c r="G44" s="7"/>
      <c r="H44" s="7"/>
      <c r="I44" s="7"/>
      <c r="J44" s="7"/>
      <c r="K44" s="7"/>
      <c r="L44" s="7"/>
      <c r="M44" s="7"/>
      <c r="N44" s="7"/>
      <c r="O44" s="7"/>
      <c r="P44" s="7"/>
      <c r="Q44" s="7"/>
      <c r="R44" s="7"/>
      <c r="S44" s="7"/>
      <c r="T44" s="7"/>
      <c r="U44" s="7"/>
      <c r="V44" s="7"/>
      <c r="W44" s="7"/>
      <c r="X44" s="7"/>
    </row>
    <row r="45" spans="1:24">
      <c r="A45" s="7"/>
      <c r="B45" s="7"/>
      <c r="C45" s="7"/>
      <c r="D45" s="7"/>
      <c r="E45" s="7"/>
      <c r="F45" s="7"/>
      <c r="G45" s="7"/>
      <c r="H45" s="7"/>
      <c r="I45" s="7"/>
      <c r="J45" s="7"/>
      <c r="K45" s="7"/>
      <c r="L45" s="7"/>
      <c r="M45" s="7"/>
      <c r="N45" s="7"/>
      <c r="O45" s="7"/>
      <c r="P45" s="7"/>
      <c r="Q45" s="7"/>
      <c r="R45" s="7"/>
      <c r="S45" s="7"/>
      <c r="T45" s="7"/>
      <c r="U45" s="7"/>
      <c r="V45" s="7"/>
      <c r="W45" s="7"/>
      <c r="X45" s="7"/>
    </row>
    <row r="46" spans="1:24">
      <c r="A46" s="7"/>
      <c r="B46" s="7"/>
      <c r="C46" s="7"/>
      <c r="D46" s="7"/>
      <c r="E46" s="7"/>
      <c r="F46" s="7"/>
      <c r="G46" s="7"/>
      <c r="H46" s="7"/>
      <c r="I46" s="7"/>
      <c r="J46" s="7"/>
      <c r="K46" s="7"/>
      <c r="L46" s="7"/>
      <c r="M46" s="7"/>
      <c r="N46" s="7"/>
      <c r="O46" s="7"/>
      <c r="P46" s="7"/>
      <c r="Q46" s="7"/>
      <c r="R46" s="7"/>
      <c r="S46" s="7"/>
      <c r="T46" s="7"/>
      <c r="U46" s="7"/>
      <c r="V46" s="7"/>
      <c r="W46" s="7"/>
      <c r="X46" s="7"/>
    </row>
    <row r="47" spans="1:24">
      <c r="A47" s="7"/>
      <c r="B47" s="7"/>
      <c r="C47" s="7"/>
      <c r="D47" s="7"/>
      <c r="E47" s="7"/>
      <c r="F47" s="7"/>
      <c r="G47" s="7"/>
      <c r="H47" s="7"/>
      <c r="I47" s="7"/>
      <c r="J47" s="7"/>
      <c r="K47" s="7"/>
      <c r="L47" s="7"/>
      <c r="M47" s="7"/>
      <c r="N47" s="7"/>
      <c r="O47" s="7"/>
      <c r="P47" s="7"/>
      <c r="Q47" s="7"/>
      <c r="R47" s="7"/>
      <c r="S47" s="7"/>
      <c r="T47" s="7"/>
      <c r="U47" s="7"/>
      <c r="V47" s="7"/>
      <c r="W47" s="7"/>
      <c r="X47" s="7"/>
    </row>
  </sheetData>
  <sheetProtection sheet="1" objects="1" scenarios="1" selectLockedCells="1" pivotTables="0"/>
  <mergeCells count="9">
    <mergeCell ref="T6:V6"/>
    <mergeCell ref="T7:V9"/>
    <mergeCell ref="B2:W3"/>
    <mergeCell ref="B6:D6"/>
    <mergeCell ref="B7:D9"/>
    <mergeCell ref="H6:J6"/>
    <mergeCell ref="H7:J9"/>
    <mergeCell ref="N6:P6"/>
    <mergeCell ref="N7:P9"/>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RawData</vt:lpstr>
      <vt:lpstr>Pivot_Table</vt:lpstr>
      <vt:lpstr>Dashbaord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KARUNANAYAKE D.N.</dc:creator>
  <cp:lastModifiedBy>KARUNANAYAKE D.N.</cp:lastModifiedBy>
  <dcterms:created xsi:type="dcterms:W3CDTF">2026-05-15T06:12:59Z</dcterms:created>
  <dcterms:modified xsi:type="dcterms:W3CDTF">2026-05-15T08:11:44Z</dcterms:modified>
</cp:coreProperties>
</file>